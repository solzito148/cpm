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5"/>
  <workbookPr/>
  <mc:AlternateContent xmlns:mc="http://schemas.openxmlformats.org/markup-compatibility/2006">
    <mc:Choice Requires="x15">
      <x15ac:absPath xmlns:x15ac="http://schemas.microsoft.com/office/spreadsheetml/2010/11/ac" url="/Users/msanes/Cursor/aes/cashflow/weekly/"/>
    </mc:Choice>
  </mc:AlternateContent>
  <xr:revisionPtr revIDLastSave="0" documentId="13_ncr:1_{46CC36B9-9863-2546-94EE-C93DE4D1FD6F}" xr6:coauthVersionLast="47" xr6:coauthVersionMax="47" xr10:uidLastSave="{00000000-0000-0000-0000-000000000000}"/>
  <bookViews>
    <workbookView xWindow="-120" yWindow="780" windowWidth="29040" windowHeight="15720" xr2:uid="{00000000-000D-0000-FFFF-FFFF00000000}"/>
  </bookViews>
  <sheets>
    <sheet name="Backlog" sheetId="1" r:id="rId1"/>
    <sheet name="Sheet3" sheetId="5" r:id="rId2"/>
    <sheet name="Sheet2" sheetId="2" r:id="rId3"/>
    <sheet name="Sheet4" sheetId="4" r:id="rId4"/>
  </sheets>
  <definedNames>
    <definedName name="_xlnm._FilterDatabase" localSheetId="0" hidden="1">Backlog!$A$1:$AM$29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9" i="1" l="1"/>
  <c r="K21" i="1"/>
  <c r="K10" i="1"/>
  <c r="K13" i="1"/>
  <c r="K11" i="1"/>
  <c r="R16" i="1"/>
  <c r="R6" i="1"/>
  <c r="R22" i="1"/>
  <c r="R17" i="1"/>
  <c r="S6" i="1"/>
  <c r="S7" i="1"/>
  <c r="S8" i="1"/>
  <c r="S10" i="1"/>
  <c r="S5" i="1"/>
  <c r="R10" i="1"/>
  <c r="R3" i="1"/>
  <c r="R4" i="1"/>
  <c r="R5" i="1"/>
  <c r="R7" i="1"/>
  <c r="R8" i="1"/>
  <c r="R11" i="1"/>
  <c r="R12" i="1"/>
  <c r="R13" i="1"/>
  <c r="R14" i="1"/>
  <c r="R15" i="1"/>
  <c r="R2" i="1"/>
</calcChain>
</file>

<file path=xl/sharedStrings.xml><?xml version="1.0" encoding="utf-8"?>
<sst xmlns="http://schemas.openxmlformats.org/spreadsheetml/2006/main" count="536" uniqueCount="236">
  <si>
    <t>Type</t>
  </si>
  <si>
    <t>RITM / INC Related</t>
  </si>
  <si>
    <t>ID</t>
  </si>
  <si>
    <t>JIRA code</t>
  </si>
  <si>
    <t>Task name</t>
  </si>
  <si>
    <t>Status</t>
  </si>
  <si>
    <t>Assigned</t>
  </si>
  <si>
    <t>Requestor</t>
  </si>
  <si>
    <t>Priority</t>
  </si>
  <si>
    <t>Due date</t>
  </si>
  <si>
    <t>Initial Date</t>
  </si>
  <si>
    <t>Deplayment date</t>
  </si>
  <si>
    <t>Change request</t>
  </si>
  <si>
    <t>Details</t>
  </si>
  <si>
    <t>Status details</t>
  </si>
  <si>
    <t>Internal Status</t>
  </si>
  <si>
    <t>Link Jira</t>
  </si>
  <si>
    <t>Comments</t>
  </si>
  <si>
    <t>Link INC</t>
  </si>
  <si>
    <t>Check JIRA</t>
  </si>
  <si>
    <t>BreakFix</t>
  </si>
  <si>
    <t>RITM1173001 - INC1082629 / INC1083663</t>
  </si>
  <si>
    <t>SCI-01 </t>
  </si>
  <si>
    <r>
      <rPr>
        <b/>
        <sz val="11"/>
        <color rgb="FF000000"/>
        <rFont val="Calibri"/>
        <family val="2"/>
        <scheme val="minor"/>
      </rPr>
      <t>Forecasting Status errors</t>
    </r>
    <r>
      <rPr>
        <sz val="11"/>
        <color rgb="FF000000"/>
        <rFont val="Calibri"/>
        <family val="2"/>
        <scheme val="minor"/>
      </rPr>
      <t xml:space="preserve"> - Forecast status is not updating once changes are submitted.  Owners need to submit, leave the line item, go back in and then leave the line item detail to see any change in forecast status.  Some are also reporting that they need to submit multiple times for the status to update.</t>
    </r>
  </si>
  <si>
    <t>Done</t>
  </si>
  <si>
    <t>Camilo Amaury</t>
  </si>
  <si>
    <t> </t>
  </si>
  <si>
    <t>https://aes-digital.atlassian.net/browse/SCI-1</t>
  </si>
  <si>
    <t>=VLOOKUP(</t>
  </si>
  <si>
    <t>RITM1173001</t>
  </si>
  <si>
    <t>SCI-02 </t>
  </si>
  <si>
    <r>
      <t>In the Procurement Foresting, the "</t>
    </r>
    <r>
      <rPr>
        <b/>
        <sz val="11"/>
        <color rgb="FF000000"/>
        <rFont val="Calibri"/>
        <family val="2"/>
        <scheme val="minor"/>
      </rPr>
      <t>Upload Provisional Cost</t>
    </r>
    <r>
      <rPr>
        <sz val="11"/>
        <color rgb="FF000000"/>
        <rFont val="Calibri"/>
        <family val="2"/>
        <scheme val="minor"/>
      </rPr>
      <t>" Download Template button is not working</t>
    </r>
  </si>
  <si>
    <t>Ready to move to RPC</t>
  </si>
  <si>
    <t xml:space="preserve">Jenn / Bushan </t>
  </si>
  <si>
    <t>CHG1026240</t>
  </si>
  <si>
    <t>https://aes-digital.atlassian.net/browse/SCI-2</t>
  </si>
  <si>
    <t>Enhacement</t>
  </si>
  <si>
    <t>RITM1173004</t>
  </si>
  <si>
    <t>SCI-03 </t>
  </si>
  <si>
    <r>
      <rPr>
        <b/>
        <sz val="11"/>
        <color rgb="FF000000"/>
        <rFont val="Calibri"/>
        <family val="2"/>
        <scheme val="minor"/>
      </rPr>
      <t>Provisional Cost Record Upload</t>
    </r>
    <r>
      <rPr>
        <sz val="11"/>
        <color rgb="FF000000"/>
        <rFont val="Calibri"/>
        <family val="2"/>
        <scheme val="minor"/>
      </rPr>
      <t xml:space="preserve"> - 5 fields template issue / Update the template</t>
    </r>
  </si>
  <si>
    <t>https://aes-digital.atlassian.net/browse/SCI-3</t>
  </si>
  <si>
    <t>Without RITM</t>
  </si>
  <si>
    <t>SCI-04 </t>
  </si>
  <si>
    <r>
      <t xml:space="preserve">Procurement Forecasting  - Remaining Payments </t>
    </r>
    <r>
      <rPr>
        <b/>
        <sz val="11"/>
        <color rgb="FF000000"/>
        <rFont val="Calibri"/>
        <family val="2"/>
        <scheme val="minor"/>
      </rPr>
      <t>Year</t>
    </r>
    <r>
      <rPr>
        <sz val="11"/>
        <color rgb="FF000000"/>
        <rFont val="Calibri"/>
        <family val="2"/>
        <scheme val="minor"/>
      </rPr>
      <t xml:space="preserve"> Adjustments</t>
    </r>
  </si>
  <si>
    <t>Jenn / Julia</t>
  </si>
  <si>
    <t>Functional Specification is  done. Tech team request some internal test</t>
  </si>
  <si>
    <t>Issue in code</t>
  </si>
  <si>
    <t>Pending re transport of orders</t>
  </si>
  <si>
    <t>https://aes-digital.atlassian.net/browse/SCI-4</t>
  </si>
  <si>
    <t>SCI-05 </t>
  </si>
  <si>
    <t>Implementation to Reports views</t>
  </si>
  <si>
    <t>To Do</t>
  </si>
  <si>
    <t>Evelyn Rocha</t>
  </si>
  <si>
    <t>TBD</t>
  </si>
  <si>
    <t>Initial touchpoint with Julia iniciated to review task</t>
  </si>
  <si>
    <t>https://aes-digital.atlassian.net/browse/SCI-5</t>
  </si>
  <si>
    <t>SCI-06 </t>
  </si>
  <si>
    <t>Optional WBS element in Provisional Records</t>
  </si>
  <si>
    <t>Functional Specification is in progress. 23-04</t>
  </si>
  <si>
    <t>Issues found 20-04</t>
  </si>
  <si>
    <t>Functional Testing 6-May</t>
  </si>
  <si>
    <t>https://aes-digital.atlassian.net/browse/SCI-6</t>
  </si>
  <si>
    <t>REQ1171550</t>
  </si>
  <si>
    <t>SCI-07</t>
  </si>
  <si>
    <t>Optional Vendor in Provisional Record manual creation (solves REQ1171550)</t>
  </si>
  <si>
    <t>Functional Specification is  done. Moving to Tech Team</t>
  </si>
  <si>
    <t>UAT 14-MAY</t>
  </si>
  <si>
    <t>https://aes-digital.atlassian.net/browse/SCI-7</t>
  </si>
  <si>
    <t>SCI-08</t>
  </si>
  <si>
    <r>
      <rPr>
        <sz val="11"/>
        <color rgb="FF000000"/>
        <rFont val="Calibri"/>
        <family val="2"/>
        <scheme val="minor"/>
      </rPr>
      <t xml:space="preserve">Default </t>
    </r>
    <r>
      <rPr>
        <b/>
        <sz val="11"/>
        <color rgb="FF000000"/>
        <rFont val="Calibri"/>
        <family val="2"/>
        <scheme val="minor"/>
      </rPr>
      <t>PO Owner filtering</t>
    </r>
    <r>
      <rPr>
        <sz val="11"/>
        <color rgb="FF000000"/>
        <rFont val="Calibri"/>
        <family val="2"/>
        <scheme val="minor"/>
      </rPr>
      <t xml:space="preserve"> and limitation of records displayed</t>
    </r>
  </si>
  <si>
    <t>https://aes-digital.atlassian.net/browse/SCI-8</t>
  </si>
  <si>
    <t>SCI-09 </t>
  </si>
  <si>
    <t>Automatic Reduction of Provisional Cost Records</t>
  </si>
  <si>
    <t>Por comentario: evitar duplicidad entre PR costs y provisionals.</t>
  </si>
  <si>
    <t>Functional Testing  6-May</t>
  </si>
  <si>
    <t>https://aes-digital.atlassian.net/browse/SCI-9</t>
  </si>
  <si>
    <t>https://inclusionservicesjira.atlassian.net/browse/AES0705-707</t>
  </si>
  <si>
    <t>SCI-10</t>
  </si>
  <si>
    <t>Adjustments to the Procurement Forecasting Massive app (remaining payments)</t>
  </si>
  <si>
    <t>In Development</t>
  </si>
  <si>
    <t>Functional Spec in Done. Next Step: development with Antonio</t>
  </si>
  <si>
    <t xml:space="preserve">Filters, numbers </t>
  </si>
  <si>
    <t>In Development WIP - Since 5/5</t>
  </si>
  <si>
    <t>https://aes-digital.atlassian.net/browse/SCI-10</t>
  </si>
  <si>
    <t>SCI-11 </t>
  </si>
  <si>
    <t>Attachment Report external share</t>
  </si>
  <si>
    <t>https://aes-digital.atlassian.net/browse/SCI-11</t>
  </si>
  <si>
    <t>SCI-12</t>
  </si>
  <si>
    <t>Mass Procurement Forecasting - Eye Sore Adjustments (mail with massive change)</t>
  </si>
  <si>
    <t>Alec Bone</t>
  </si>
  <si>
    <t>Unique FS 456 y 458</t>
  </si>
  <si>
    <t>https://aes-digital.atlassian.net/browse/SCI-12</t>
  </si>
  <si>
    <t>SCI-13 </t>
  </si>
  <si>
    <t>Evaluate Job of Procurement FC</t>
  </si>
  <si>
    <t>Carlos Olivencia</t>
  </si>
  <si>
    <t>https://aes-digital.atlassian.net/browse/SCI-13</t>
  </si>
  <si>
    <t>SCI-14 </t>
  </si>
  <si>
    <t>Check WBS_ID in Procurement FC internal table</t>
  </si>
  <si>
    <t>Initial touchpoint with Alec iniciated to review task</t>
  </si>
  <si>
    <t>https://aes-digital.atlassian.net/browse/SCI-14</t>
  </si>
  <si>
    <t>SCI-15</t>
  </si>
  <si>
    <t>Review consistency between PROJNR and WBS in internal table</t>
  </si>
  <si>
    <t>https://aes-digital.atlassian.net/browse/SCI-15</t>
  </si>
  <si>
    <t>Bug</t>
  </si>
  <si>
    <t>SCI-18</t>
  </si>
  <si>
    <t>Procurement forecasting - Individual</t>
  </si>
  <si>
    <t>In Progress</t>
  </si>
  <si>
    <t>https://aes-digital.atlassian.net/browse/SCI-18</t>
  </si>
  <si>
    <t>RITM1185647</t>
  </si>
  <si>
    <t>SCI-19 </t>
  </si>
  <si>
    <t>Rol assigment - ask with AES Security Team if it´s ok to assign role to Caily</t>
  </si>
  <si>
    <t>Pablo Bianco/Camilo Amaury</t>
  </si>
  <si>
    <t>Request sent to Diego 11-May.</t>
  </si>
  <si>
    <t>https://aes-digital.atlassian.net/browse/SCI-19</t>
  </si>
  <si>
    <t>SCI-20</t>
  </si>
  <si>
    <t>Invalidate forecasting status</t>
  </si>
  <si>
    <t>https://aes-digital.atlassian.net/browse/SCI-20</t>
  </si>
  <si>
    <t>SCI-21</t>
  </si>
  <si>
    <t>Forecasting status revision under forescasting</t>
  </si>
  <si>
    <t>https://aes-digital.atlassian.net/browse/SCI-21</t>
  </si>
  <si>
    <t>RITM1183406</t>
  </si>
  <si>
    <t>SCI-22</t>
  </si>
  <si>
    <t>RITM1183406 - Filtering of down payments in procure forescating</t>
  </si>
  <si>
    <t>SCI-22 - RITM1183406 - Filtering of down payments in procure forecasting</t>
  </si>
  <si>
    <t>SCI-23</t>
  </si>
  <si>
    <t>PO 4501754428 - Sycamore Cross - MILL CREEK RENEWABLES LLC</t>
  </si>
  <si>
    <t>Call with Walter report view to get details to create Fiori APP</t>
  </si>
  <si>
    <t>SCI-23 - PO 4501754428 - Sycamore Cross - MILL CREEK RENEWABLES LLC</t>
  </si>
  <si>
    <t>SCI-24</t>
  </si>
  <si>
    <t>318-[CPM-040] Project creation &amp; Massive Change</t>
  </si>
  <si>
    <t>In analysis</t>
  </si>
  <si>
    <t>FS done 12/05 Wating DEV</t>
  </si>
  <si>
    <t>Blocked</t>
  </si>
  <si>
    <t>SCI-24 - 318-[CPM-040] Project creation &amp; Massive Change</t>
  </si>
  <si>
    <t>SCI-25</t>
  </si>
  <si>
    <t>New logic for provisional record for PO</t>
  </si>
  <si>
    <t>SCI-25 - 467-Project Monitoring Accounting</t>
  </si>
  <si>
    <t>SCI-26</t>
  </si>
  <si>
    <t>CPM Additional Field Needed</t>
  </si>
  <si>
    <t>SCI-26 - Download RPC code from Procurement Forecasting / review CPM repo</t>
  </si>
  <si>
    <t>SCI-27</t>
  </si>
  <si>
    <t>Download RPC code from Procurement Forecasting / review CPM repo</t>
  </si>
  <si>
    <t>SCI-27 - Payment Request - Clearing of fields in duplication</t>
  </si>
  <si>
    <t>SCI-28</t>
  </si>
  <si>
    <t>Payment Request - Clearing of fields in duplication</t>
  </si>
  <si>
    <t>SCI-28 - CPM Additional Field Needed</t>
  </si>
  <si>
    <t>SAP and SharePoint Template Upload</t>
  </si>
  <si>
    <t>SCI-29 - SAP and SharePoint Template Upload</t>
  </si>
  <si>
    <t>SCI-30</t>
  </si>
  <si>
    <t>Always 2 decimals in the APP</t>
  </si>
  <si>
    <t>https://aes-digital.atlassian.net/browse/SCI-30</t>
  </si>
  <si>
    <t>RITM1175414</t>
  </si>
  <si>
    <t>TO-DO</t>
  </si>
  <si>
    <t>RITM 1182172</t>
  </si>
  <si>
    <t>INC1113552</t>
  </si>
  <si>
    <t>link JIRA</t>
  </si>
  <si>
    <t>https://aes-digital.atlassian.net/jira/software/projects/SCI/boards/2184</t>
  </si>
  <si>
    <t>Issue Type</t>
  </si>
  <si>
    <t>Key</t>
  </si>
  <si>
    <t>Summary</t>
  </si>
  <si>
    <t>Story</t>
  </si>
  <si>
    <t>SCI-5</t>
  </si>
  <si>
    <t>Reports views</t>
  </si>
  <si>
    <t/>
  </si>
  <si>
    <t>SCI-8</t>
  </si>
  <si>
    <t>Default PO Owner</t>
  </si>
  <si>
    <t>SCI-11</t>
  </si>
  <si>
    <t>Mass Procurement Forecasting</t>
  </si>
  <si>
    <t>SCI-13</t>
  </si>
  <si>
    <t>SCI-14</t>
  </si>
  <si>
    <t>SCI-6</t>
  </si>
  <si>
    <t>Optional WBS</t>
  </si>
  <si>
    <t>SCI-9</t>
  </si>
  <si>
    <t>Reduction of Provisional Cost</t>
  </si>
  <si>
    <t>Forecasting Massive app</t>
  </si>
  <si>
    <t>SCI-2</t>
  </si>
  <si>
    <t>Upload Provisional Cost</t>
  </si>
  <si>
    <t>Testing</t>
  </si>
  <si>
    <t>SCI-3</t>
  </si>
  <si>
    <t>Provisional Cost Record Upload</t>
  </si>
  <si>
    <t>SCI-4</t>
  </si>
  <si>
    <t>Remaining Payments Year Adjustments</t>
  </si>
  <si>
    <t>SCI-7</t>
  </si>
  <si>
    <t>Optional Vendor</t>
  </si>
  <si>
    <t>SCI-1</t>
  </si>
  <si>
    <t>Forecasting Status errors</t>
  </si>
  <si>
    <t>Tipo de Incidencia</t>
  </si>
  <si>
    <t>Clave</t>
  </si>
  <si>
    <t>Resumen</t>
  </si>
  <si>
    <t>Persona asignada</t>
  </si>
  <si>
    <t>Informador</t>
  </si>
  <si>
    <t>Prioridad</t>
  </si>
  <si>
    <t>Estado</t>
  </si>
  <si>
    <t>Resolución</t>
  </si>
  <si>
    <t>Creada</t>
  </si>
  <si>
    <t>Actualizada</t>
  </si>
  <si>
    <t>Tarea</t>
  </si>
  <si>
    <t>AES0705-696</t>
  </si>
  <si>
    <t>[SAP-CPM] Implementation to Reports views</t>
  </si>
  <si>
    <t>Pablo Bianco</t>
  </si>
  <si>
    <t>Maria Sanes</t>
  </si>
  <si>
    <t>Medio</t>
  </si>
  <si>
    <t>Tareas por hacer</t>
  </si>
  <si>
    <t>14/4/26 10:48</t>
  </si>
  <si>
    <t>27/4/26 17:34</t>
  </si>
  <si>
    <t>AES0705-697</t>
  </si>
  <si>
    <t>[SAP-CPM] Optional WBS element in Provisional Records</t>
  </si>
  <si>
    <t>14/4/26 11:48</t>
  </si>
  <si>
    <t>AES0705-698</t>
  </si>
  <si>
    <t>[SAP-CPM] Optional Vendor in Provisional Record manual creation</t>
  </si>
  <si>
    <t>AES0705-699</t>
  </si>
  <si>
    <t>[SAP-CPM] Default PO Owner filtering and limitation of records displayed</t>
  </si>
  <si>
    <t>AES0705-700</t>
  </si>
  <si>
    <t>[SAP-CPM] Adjustments to the Procurement Forecasting Massive app</t>
  </si>
  <si>
    <t>27/4/26 17:48</t>
  </si>
  <si>
    <t>AES0705-701</t>
  </si>
  <si>
    <t>[SAP-CPM] Attachment Report external share</t>
  </si>
  <si>
    <t>AES0705-702</t>
  </si>
  <si>
    <t>[SAP-CPM] Mass Procurement Forecasting - Eye Sore Adjustments</t>
  </si>
  <si>
    <t>27/4/26 18:11</t>
  </si>
  <si>
    <t>AES0705-703</t>
  </si>
  <si>
    <t>[SAP-CPM] Evaluate Job of Procurement FC</t>
  </si>
  <si>
    <t>AES0705-704</t>
  </si>
  <si>
    <t>[SAP-CPM] Check WBS_ID in Procurement FC internal table</t>
  </si>
  <si>
    <t>AES0705-705</t>
  </si>
  <si>
    <t>[SAP-CPM] Review consistency between PROJNR and WBS in internal table</t>
  </si>
  <si>
    <t>AES0705-706</t>
  </si>
  <si>
    <t>ID#462: [SAP-CPM] Procurement Forecasting  - Remaining Payments Year Adjustments</t>
  </si>
  <si>
    <t>15/4/26 10:12</t>
  </si>
  <si>
    <t>27/4/26 16:55</t>
  </si>
  <si>
    <t>AES0705-707</t>
  </si>
  <si>
    <t>ID#463: [SAP-CPM] Automatic reduction of provisional cost records</t>
  </si>
  <si>
    <t>16/4/26 10:29</t>
  </si>
  <si>
    <t>AES0705-717</t>
  </si>
  <si>
    <t>[CPM-040] Project creation &amp; Massive Change</t>
  </si>
  <si>
    <t>27/4/26 17:46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</si>
</sst>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
  </numFmts>
  <fonts count="17" x14ac:knownFonts="1">
    <font>
      <sz val="11"/>
      <color theme="1"/>
      <name val="Calibri"/>
      <family val="2"/>
      <scheme val="minor"/>
    </font>
    <font>
      <b/>
      <sz val="11"/>
      <color theme="1"/>
      <name val="Calibri"/>
      <family val="2"/>
      <scheme val="minor"/>
    </font>
    <font>
      <sz val="11"/>
      <color rgb="FF006100"/>
      <name val="Calibri"/>
      <family val="2"/>
      <scheme val="minor"/>
    </font>
    <font>
      <sz val="11"/>
      <color rgb="FF9C5700"/>
      <name val="Calibri"/>
      <family val="2"/>
      <scheme val="minor"/>
    </font>
    <font>
      <b/>
      <sz val="11"/>
      <color rgb="FFFA7D00"/>
      <name val="Calibri"/>
      <family val="2"/>
      <scheme val="minor"/>
    </font>
    <font>
      <b/>
      <sz val="11"/>
      <color rgb="FFFF0000"/>
      <name val="Calibri"/>
      <family val="2"/>
      <scheme val="minor"/>
    </font>
    <font>
      <b/>
      <sz val="11"/>
      <color rgb="FF000000"/>
      <name val="Calibri"/>
      <family val="2"/>
    </font>
    <font>
      <sz val="11"/>
      <color rgb="FF000000"/>
      <name val="Calibri"/>
      <family val="2"/>
    </font>
    <font>
      <u/>
      <sz val="11"/>
      <color theme="10"/>
      <name val="Calibri"/>
      <family val="2"/>
      <scheme val="minor"/>
    </font>
    <font>
      <b/>
      <sz val="11"/>
      <color rgb="FF000000"/>
      <name val="Calibri"/>
      <family val="2"/>
      <scheme val="minor"/>
    </font>
    <font>
      <sz val="11"/>
      <color rgb="FF000000"/>
      <name val="Calibri"/>
      <family val="2"/>
      <scheme val="minor"/>
    </font>
    <font>
      <sz val="11"/>
      <color rgb="FF000000"/>
      <name val="Calibri"/>
      <family val="2"/>
    </font>
    <font>
      <u/>
      <sz val="11"/>
      <color rgb="FF1265BE"/>
      <name val="Calibri"/>
      <family val="2"/>
    </font>
    <font>
      <sz val="11"/>
      <color theme="1"/>
      <name val="Calibri"/>
      <family val="2"/>
    </font>
    <font>
      <sz val="11"/>
      <color rgb="FF000000"/>
      <name val="Calibri"/>
      <family val="2"/>
      <scheme val="minor"/>
    </font>
    <font>
      <u/>
      <sz val="11"/>
      <color rgb="FF000000"/>
      <name val="Calibri"/>
      <family val="2"/>
      <scheme val="minor"/>
    </font>
    <font>
      <sz val="11"/>
      <color theme="1"/>
      <name val="Aptos Narrow"/>
    </font>
  </fonts>
  <fills count="13">
    <fill>
      <patternFill patternType="none"/>
    </fill>
    <fill>
      <patternFill patternType="gray125"/>
    </fill>
    <fill>
      <patternFill patternType="solid">
        <fgColor rgb="FFC6EFCE"/>
      </patternFill>
    </fill>
    <fill>
      <patternFill patternType="solid">
        <fgColor rgb="FFFFEB9C"/>
      </patternFill>
    </fill>
    <fill>
      <patternFill patternType="solid">
        <fgColor rgb="FFF2F2F2"/>
      </patternFill>
    </fill>
    <fill>
      <patternFill patternType="solid">
        <fgColor theme="8"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7F7F7"/>
        <bgColor indexed="64"/>
      </patternFill>
    </fill>
    <fill>
      <patternFill patternType="solid">
        <fgColor theme="9" tint="0.79998168889431442"/>
        <bgColor indexed="64"/>
      </patternFill>
    </fill>
  </fills>
  <borders count="11">
    <border>
      <left/>
      <right/>
      <top/>
      <bottom/>
      <diagonal/>
    </border>
    <border>
      <left style="thin">
        <color rgb="FF7F7F7F"/>
      </left>
      <right style="thin">
        <color rgb="FF7F7F7F"/>
      </right>
      <top style="thin">
        <color rgb="FF7F7F7F"/>
      </top>
      <bottom style="thin">
        <color rgb="FF7F7F7F"/>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s>
  <cellStyleXfs count="5">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1" applyNumberFormat="0" applyAlignment="0" applyProtection="0"/>
    <xf numFmtId="0" fontId="8" fillId="0" borderId="0" applyNumberFormat="0" applyFill="0" applyBorder="0" applyAlignment="0" applyProtection="0"/>
  </cellStyleXfs>
  <cellXfs count="154">
    <xf numFmtId="0" fontId="0" fillId="0" borderId="0" xfId="0"/>
    <xf numFmtId="0" fontId="8" fillId="0" borderId="0" xfId="4"/>
    <xf numFmtId="0" fontId="7" fillId="0" borderId="0" xfId="0" applyFont="1"/>
    <xf numFmtId="0" fontId="12" fillId="0" borderId="0" xfId="0" applyFont="1"/>
    <xf numFmtId="14" fontId="13" fillId="0" borderId="0" xfId="0" applyNumberFormat="1" applyFont="1"/>
    <xf numFmtId="0" fontId="8" fillId="0" borderId="0" xfId="4" applyFill="1" applyBorder="1" applyAlignment="1"/>
    <xf numFmtId="0" fontId="0" fillId="0" borderId="0" xfId="0" applyAlignment="1">
      <alignment vertical="center"/>
    </xf>
    <xf numFmtId="0" fontId="11" fillId="0" borderId="0" xfId="0" applyFont="1" applyAlignment="1">
      <alignment vertical="center"/>
    </xf>
    <xf numFmtId="0" fontId="1" fillId="5" borderId="0" xfId="0" applyFont="1" applyFill="1" applyAlignment="1">
      <alignment vertical="center"/>
    </xf>
    <xf numFmtId="0" fontId="1" fillId="5" borderId="0" xfId="0" applyFont="1" applyFill="1" applyAlignment="1">
      <alignment vertical="center" wrapText="1"/>
    </xf>
    <xf numFmtId="0" fontId="6" fillId="5" borderId="0" xfId="0" applyFont="1" applyFill="1" applyAlignment="1">
      <alignment vertical="center"/>
    </xf>
    <xf numFmtId="0" fontId="14" fillId="0" borderId="0" xfId="0" applyFont="1" applyAlignment="1">
      <alignment vertical="center"/>
    </xf>
    <xf numFmtId="16" fontId="14" fillId="0" borderId="0" xfId="0" applyNumberFormat="1" applyFont="1" applyAlignment="1">
      <alignment vertical="center"/>
    </xf>
    <xf numFmtId="0" fontId="14" fillId="7" borderId="0" xfId="0" applyFont="1" applyFill="1" applyAlignment="1">
      <alignment vertical="center"/>
    </xf>
    <xf numFmtId="16" fontId="14" fillId="7" borderId="0" xfId="0" applyNumberFormat="1" applyFont="1" applyFill="1" applyAlignment="1">
      <alignment vertical="center"/>
    </xf>
    <xf numFmtId="0" fontId="14" fillId="9" borderId="0" xfId="0" applyFont="1" applyFill="1" applyAlignment="1">
      <alignment vertical="center"/>
    </xf>
    <xf numFmtId="0" fontId="0" fillId="5" borderId="0" xfId="0" applyFill="1" applyAlignment="1">
      <alignment vertical="center"/>
    </xf>
    <xf numFmtId="0" fontId="0" fillId="6" borderId="0" xfId="0" applyFill="1" applyAlignment="1">
      <alignment vertical="center"/>
    </xf>
    <xf numFmtId="16" fontId="0" fillId="6" borderId="0" xfId="0" applyNumberFormat="1" applyFill="1" applyAlignment="1">
      <alignment vertical="center"/>
    </xf>
    <xf numFmtId="0" fontId="0" fillId="0" borderId="0" xfId="0" applyAlignment="1">
      <alignment horizontal="center" vertical="center"/>
    </xf>
    <xf numFmtId="0" fontId="0" fillId="0" borderId="0" xfId="0" applyAlignment="1">
      <alignment vertical="center" wrapText="1"/>
    </xf>
    <xf numFmtId="0" fontId="0" fillId="0" borderId="2" xfId="0" applyBorder="1" applyAlignment="1">
      <alignment vertical="center"/>
    </xf>
    <xf numFmtId="0" fontId="0" fillId="0" borderId="2" xfId="0" applyBorder="1" applyAlignment="1">
      <alignment horizontal="center" vertical="center"/>
    </xf>
    <xf numFmtId="0" fontId="7" fillId="0" borderId="2" xfId="0" applyFont="1" applyBorder="1" applyAlignment="1">
      <alignment horizontal="center" vertical="center"/>
    </xf>
    <xf numFmtId="0" fontId="10" fillId="0" borderId="2" xfId="0" applyFont="1" applyBorder="1" applyAlignment="1">
      <alignment vertical="center" wrapText="1"/>
    </xf>
    <xf numFmtId="0" fontId="2" fillId="0" borderId="2" xfId="1" applyFill="1" applyBorder="1" applyAlignment="1">
      <alignment vertical="center"/>
    </xf>
    <xf numFmtId="0" fontId="14" fillId="9" borderId="2" xfId="0" applyFont="1" applyFill="1" applyBorder="1" applyAlignment="1">
      <alignment vertical="center"/>
    </xf>
    <xf numFmtId="0" fontId="14" fillId="9" borderId="2" xfId="0" applyFont="1" applyFill="1" applyBorder="1" applyAlignment="1">
      <alignment horizontal="center" vertical="center"/>
    </xf>
    <xf numFmtId="0" fontId="7" fillId="9" borderId="2" xfId="0" applyFont="1" applyFill="1" applyBorder="1" applyAlignment="1">
      <alignment horizontal="center" vertical="center"/>
    </xf>
    <xf numFmtId="0" fontId="14" fillId="9" borderId="2" xfId="0" applyFont="1" applyFill="1" applyBorder="1" applyAlignment="1">
      <alignment vertical="center" wrapText="1"/>
    </xf>
    <xf numFmtId="0" fontId="14" fillId="0" borderId="2" xfId="0" applyFont="1" applyBorder="1" applyAlignment="1">
      <alignment vertical="center"/>
    </xf>
    <xf numFmtId="0" fontId="14" fillId="0" borderId="2" xfId="0" applyFont="1" applyBorder="1" applyAlignment="1">
      <alignment horizontal="center" vertical="center"/>
    </xf>
    <xf numFmtId="0" fontId="14" fillId="10" borderId="2" xfId="0" applyFont="1" applyFill="1" applyBorder="1" applyAlignment="1">
      <alignment vertical="center" wrapText="1"/>
    </xf>
    <xf numFmtId="0" fontId="14" fillId="0" borderId="2" xfId="0" applyFont="1" applyBorder="1" applyAlignment="1">
      <alignment vertical="center" wrapText="1"/>
    </xf>
    <xf numFmtId="0" fontId="0" fillId="8" borderId="2" xfId="0" applyFill="1" applyBorder="1" applyAlignment="1">
      <alignment vertical="center"/>
    </xf>
    <xf numFmtId="0" fontId="0" fillId="6" borderId="2" xfId="0" applyFill="1" applyBorder="1" applyAlignment="1">
      <alignment vertical="center"/>
    </xf>
    <xf numFmtId="0" fontId="0" fillId="6" borderId="2" xfId="0" applyFill="1" applyBorder="1" applyAlignment="1">
      <alignment horizontal="center" vertical="center"/>
    </xf>
    <xf numFmtId="0" fontId="7" fillId="6" borderId="2" xfId="0" applyFont="1" applyFill="1" applyBorder="1" applyAlignment="1">
      <alignment horizontal="center" vertical="center"/>
    </xf>
    <xf numFmtId="0" fontId="10" fillId="6" borderId="2" xfId="0" applyFont="1" applyFill="1" applyBorder="1" applyAlignment="1">
      <alignment vertical="center" wrapText="1"/>
    </xf>
    <xf numFmtId="0" fontId="14" fillId="7" borderId="2" xfId="0" applyFont="1" applyFill="1" applyBorder="1" applyAlignment="1">
      <alignment vertical="center"/>
    </xf>
    <xf numFmtId="0" fontId="14" fillId="7" borderId="2" xfId="0" applyFont="1" applyFill="1" applyBorder="1" applyAlignment="1">
      <alignment horizontal="center" vertical="center"/>
    </xf>
    <xf numFmtId="0" fontId="7" fillId="7" borderId="2" xfId="0" applyFont="1" applyFill="1" applyBorder="1" applyAlignment="1">
      <alignment horizontal="center" vertical="center"/>
    </xf>
    <xf numFmtId="0" fontId="0" fillId="6" borderId="2" xfId="0" applyFill="1" applyBorder="1" applyAlignment="1">
      <alignment vertical="center" wrapText="1"/>
    </xf>
    <xf numFmtId="0" fontId="0" fillId="6" borderId="2" xfId="3" applyFont="1" applyFill="1" applyBorder="1" applyAlignment="1">
      <alignment vertical="center"/>
    </xf>
    <xf numFmtId="0" fontId="0" fillId="0" borderId="2" xfId="0" applyBorder="1" applyAlignment="1">
      <alignment vertical="center" wrapText="1"/>
    </xf>
    <xf numFmtId="0" fontId="2" fillId="0" borderId="2" xfId="1" applyFill="1" applyBorder="1" applyAlignment="1">
      <alignment horizontal="center" vertical="center"/>
    </xf>
    <xf numFmtId="0" fontId="8" fillId="0" borderId="2" xfId="4" applyFill="1" applyBorder="1" applyAlignment="1">
      <alignment vertical="center"/>
    </xf>
    <xf numFmtId="164" fontId="14" fillId="9" borderId="2" xfId="0" applyNumberFormat="1" applyFont="1" applyFill="1" applyBorder="1" applyAlignment="1">
      <alignment vertical="center" wrapText="1"/>
    </xf>
    <xf numFmtId="0" fontId="15" fillId="9" borderId="2" xfId="4" applyFont="1" applyFill="1" applyBorder="1" applyAlignment="1">
      <alignment vertical="center"/>
    </xf>
    <xf numFmtId="0" fontId="14" fillId="9" borderId="2" xfId="1" applyFont="1" applyFill="1" applyBorder="1" applyAlignment="1">
      <alignment vertical="center"/>
    </xf>
    <xf numFmtId="0" fontId="14" fillId="0" borderId="2" xfId="1" applyFont="1" applyFill="1" applyBorder="1" applyAlignment="1">
      <alignment vertical="center"/>
    </xf>
    <xf numFmtId="0" fontId="7" fillId="9" borderId="2" xfId="0" applyFont="1" applyFill="1" applyBorder="1" applyAlignment="1">
      <alignment vertical="center"/>
    </xf>
    <xf numFmtId="0" fontId="8" fillId="0" borderId="2" xfId="4" applyBorder="1" applyAlignment="1">
      <alignment vertical="center"/>
    </xf>
    <xf numFmtId="0" fontId="7" fillId="6" borderId="2" xfId="0" applyFont="1" applyFill="1" applyBorder="1" applyAlignment="1">
      <alignment vertical="center"/>
    </xf>
    <xf numFmtId="0" fontId="2" fillId="6" borderId="2" xfId="1" applyFill="1" applyBorder="1" applyAlignment="1">
      <alignment vertical="center"/>
    </xf>
    <xf numFmtId="164" fontId="0" fillId="6" borderId="2" xfId="0" applyNumberFormat="1" applyFill="1" applyBorder="1" applyAlignment="1">
      <alignment vertical="center"/>
    </xf>
    <xf numFmtId="0" fontId="5" fillId="6" borderId="2" xfId="0" applyFont="1" applyFill="1" applyBorder="1" applyAlignment="1">
      <alignment horizontal="center" vertical="center"/>
    </xf>
    <xf numFmtId="0" fontId="8" fillId="6" borderId="2" xfId="4" applyFill="1" applyBorder="1" applyAlignment="1">
      <alignment vertical="center"/>
    </xf>
    <xf numFmtId="164" fontId="14" fillId="7" borderId="2" xfId="0" applyNumberFormat="1" applyFont="1" applyFill="1" applyBorder="1" applyAlignment="1">
      <alignment vertical="center"/>
    </xf>
    <xf numFmtId="0" fontId="8" fillId="7" borderId="2" xfId="4" applyFill="1" applyBorder="1" applyAlignment="1">
      <alignment vertical="center"/>
    </xf>
    <xf numFmtId="164" fontId="14" fillId="0" borderId="2" xfId="0" applyNumberFormat="1" applyFont="1" applyBorder="1" applyAlignment="1">
      <alignment vertical="center"/>
    </xf>
    <xf numFmtId="0" fontId="15" fillId="0" borderId="2" xfId="4" applyFont="1" applyFill="1" applyBorder="1" applyAlignment="1">
      <alignment vertical="center"/>
    </xf>
    <xf numFmtId="0" fontId="2" fillId="2" borderId="2" xfId="1" applyBorder="1" applyAlignment="1">
      <alignment vertical="center"/>
    </xf>
    <xf numFmtId="0" fontId="0" fillId="0" borderId="2" xfId="1" applyFont="1" applyFill="1" applyBorder="1" applyAlignment="1">
      <alignment vertical="center"/>
    </xf>
    <xf numFmtId="0" fontId="0" fillId="9" borderId="2" xfId="0" applyFill="1" applyBorder="1" applyAlignment="1">
      <alignment vertical="center"/>
    </xf>
    <xf numFmtId="0" fontId="0" fillId="6" borderId="2" xfId="2" applyFont="1" applyFill="1" applyBorder="1" applyAlignment="1">
      <alignment vertical="center"/>
    </xf>
    <xf numFmtId="0" fontId="0" fillId="7" borderId="2" xfId="0" applyFill="1" applyBorder="1" applyAlignment="1">
      <alignment vertical="center"/>
    </xf>
    <xf numFmtId="0" fontId="0" fillId="0" borderId="2" xfId="3" applyFont="1" applyFill="1" applyBorder="1" applyAlignment="1">
      <alignment vertical="center"/>
    </xf>
    <xf numFmtId="0" fontId="10" fillId="0" borderId="2" xfId="0" applyFont="1" applyBorder="1" applyAlignment="1">
      <alignment vertical="center"/>
    </xf>
    <xf numFmtId="0" fontId="16" fillId="0" borderId="2" xfId="0" applyFont="1" applyBorder="1" applyAlignment="1">
      <alignment vertical="center"/>
    </xf>
    <xf numFmtId="0" fontId="0" fillId="0" borderId="3" xfId="0" applyBorder="1" applyAlignment="1">
      <alignment vertical="center"/>
    </xf>
    <xf numFmtId="0" fontId="0" fillId="0" borderId="6" xfId="0" applyBorder="1" applyAlignment="1">
      <alignment vertical="center"/>
    </xf>
    <xf numFmtId="0" fontId="14" fillId="0" borderId="6" xfId="0" applyFont="1" applyBorder="1" applyAlignment="1">
      <alignment vertical="center"/>
    </xf>
    <xf numFmtId="0" fontId="6" fillId="5" borderId="0" xfId="0" applyFont="1" applyFill="1" applyAlignment="1">
      <alignment horizontal="left" vertical="center"/>
    </xf>
    <xf numFmtId="16" fontId="7" fillId="6" borderId="3" xfId="0" applyNumberFormat="1" applyFont="1" applyFill="1" applyBorder="1" applyAlignment="1">
      <alignment horizontal="left" vertical="center"/>
    </xf>
    <xf numFmtId="0" fontId="7" fillId="0" borderId="2" xfId="0" applyFont="1" applyBorder="1" applyAlignment="1">
      <alignment horizontal="left" vertical="center"/>
    </xf>
    <xf numFmtId="16" fontId="7" fillId="9" borderId="2" xfId="0" applyNumberFormat="1" applyFont="1" applyFill="1" applyBorder="1" applyAlignment="1">
      <alignment horizontal="left" vertical="center"/>
    </xf>
    <xf numFmtId="0" fontId="7" fillId="0" borderId="3" xfId="0" applyFont="1" applyBorder="1" applyAlignment="1">
      <alignment horizontal="left" vertical="center"/>
    </xf>
    <xf numFmtId="0" fontId="14" fillId="0" borderId="2" xfId="0" applyFont="1" applyBorder="1" applyAlignment="1">
      <alignment horizontal="left" vertical="center"/>
    </xf>
    <xf numFmtId="0" fontId="0" fillId="0" borderId="2" xfId="0" applyBorder="1" applyAlignment="1">
      <alignment horizontal="left" vertical="center"/>
    </xf>
    <xf numFmtId="16" fontId="7" fillId="6" borderId="2" xfId="0" applyNumberFormat="1" applyFont="1" applyFill="1" applyBorder="1" applyAlignment="1">
      <alignment horizontal="left" vertical="center"/>
    </xf>
    <xf numFmtId="16" fontId="7" fillId="7" borderId="2" xfId="0" applyNumberFormat="1" applyFont="1" applyFill="1" applyBorder="1" applyAlignment="1">
      <alignment horizontal="left" vertical="center"/>
    </xf>
    <xf numFmtId="16" fontId="7" fillId="0" borderId="2" xfId="0" applyNumberFormat="1" applyFont="1" applyBorder="1" applyAlignment="1">
      <alignment horizontal="left" vertical="center"/>
    </xf>
    <xf numFmtId="16" fontId="0" fillId="0" borderId="2" xfId="0" applyNumberFormat="1" applyBorder="1" applyAlignment="1">
      <alignment horizontal="left" vertical="center"/>
    </xf>
    <xf numFmtId="0" fontId="0" fillId="0" borderId="0" xfId="0" applyAlignment="1">
      <alignment horizontal="left" vertical="center"/>
    </xf>
    <xf numFmtId="0" fontId="0" fillId="0" borderId="5" xfId="0" applyBorder="1" applyAlignment="1">
      <alignment vertical="center"/>
    </xf>
    <xf numFmtId="0" fontId="0" fillId="0" borderId="5" xfId="0" applyBorder="1" applyAlignment="1">
      <alignment vertical="center" wrapText="1"/>
    </xf>
    <xf numFmtId="0" fontId="0" fillId="0" borderId="5" xfId="0" applyBorder="1" applyAlignment="1">
      <alignment horizontal="center" vertical="center"/>
    </xf>
    <xf numFmtId="0" fontId="7" fillId="0" borderId="5" xfId="0" applyFont="1" applyBorder="1" applyAlignment="1">
      <alignment horizontal="center" vertical="center"/>
    </xf>
    <xf numFmtId="0" fontId="0" fillId="0" borderId="5" xfId="0" applyBorder="1" applyAlignment="1">
      <alignment horizontal="left" vertical="center"/>
    </xf>
    <xf numFmtId="0" fontId="7" fillId="0" borderId="7" xfId="0" applyFont="1" applyBorder="1" applyAlignment="1">
      <alignment horizontal="left" vertical="center"/>
    </xf>
    <xf numFmtId="0" fontId="0" fillId="6" borderId="5" xfId="0" applyFill="1" applyBorder="1" applyAlignment="1">
      <alignment vertical="center"/>
    </xf>
    <xf numFmtId="0" fontId="10" fillId="0" borderId="5" xfId="0" applyFont="1" applyBorder="1" applyAlignment="1">
      <alignment vertical="center"/>
    </xf>
    <xf numFmtId="0" fontId="0" fillId="0" borderId="8" xfId="0" applyBorder="1" applyAlignment="1">
      <alignment vertical="center"/>
    </xf>
    <xf numFmtId="0" fontId="0" fillId="0" borderId="8" xfId="0" applyBorder="1" applyAlignment="1">
      <alignment vertical="center" wrapText="1"/>
    </xf>
    <xf numFmtId="0" fontId="14" fillId="10" borderId="8" xfId="0" applyFont="1" applyFill="1" applyBorder="1" applyAlignment="1">
      <alignment vertical="center" wrapText="1"/>
    </xf>
    <xf numFmtId="0" fontId="7" fillId="0" borderId="9" xfId="0" applyFont="1" applyBorder="1" applyAlignment="1">
      <alignment horizontal="left" vertical="center"/>
    </xf>
    <xf numFmtId="0" fontId="14" fillId="0" borderId="8" xfId="0" applyFont="1" applyBorder="1" applyAlignment="1">
      <alignment vertical="center" wrapText="1"/>
    </xf>
    <xf numFmtId="0" fontId="0" fillId="6" borderId="8" xfId="0" applyFill="1" applyBorder="1" applyAlignment="1">
      <alignment vertical="center"/>
    </xf>
    <xf numFmtId="0" fontId="0" fillId="0" borderId="8" xfId="0" applyBorder="1" applyAlignment="1">
      <alignment horizontal="center" vertical="center"/>
    </xf>
    <xf numFmtId="0" fontId="7" fillId="0" borderId="8" xfId="0" applyFont="1" applyBorder="1" applyAlignment="1">
      <alignment horizontal="center" vertical="center"/>
    </xf>
    <xf numFmtId="0" fontId="10" fillId="0" borderId="8" xfId="0" applyFont="1" applyBorder="1" applyAlignment="1">
      <alignment vertical="center"/>
    </xf>
    <xf numFmtId="0" fontId="0" fillId="0" borderId="8" xfId="0" applyBorder="1" applyAlignment="1">
      <alignment horizontal="left" vertical="center"/>
    </xf>
    <xf numFmtId="0" fontId="0" fillId="6" borderId="6" xfId="0" applyFill="1" applyBorder="1" applyAlignment="1">
      <alignment vertical="center"/>
    </xf>
    <xf numFmtId="0" fontId="7" fillId="0" borderId="6" xfId="0" applyFont="1" applyBorder="1" applyAlignment="1">
      <alignment horizontal="center" vertical="center"/>
    </xf>
    <xf numFmtId="0" fontId="0" fillId="0" borderId="6" xfId="0" applyBorder="1" applyAlignment="1">
      <alignment vertical="center" wrapText="1"/>
    </xf>
    <xf numFmtId="0" fontId="16" fillId="0" borderId="5" xfId="0" applyFont="1" applyBorder="1" applyAlignment="1">
      <alignment vertical="center"/>
    </xf>
    <xf numFmtId="0" fontId="16" fillId="0" borderId="8" xfId="0" applyFont="1" applyBorder="1" applyAlignment="1">
      <alignment vertical="center"/>
    </xf>
    <xf numFmtId="0" fontId="7" fillId="0" borderId="8" xfId="0" applyFont="1" applyBorder="1" applyAlignment="1">
      <alignment vertical="center" wrapText="1"/>
    </xf>
    <xf numFmtId="0" fontId="7" fillId="0" borderId="2" xfId="0" applyFont="1" applyBorder="1" applyAlignment="1">
      <alignment vertical="center" wrapText="1"/>
    </xf>
    <xf numFmtId="0" fontId="7" fillId="0" borderId="6" xfId="0" applyFont="1" applyBorder="1" applyAlignment="1">
      <alignment vertical="center" wrapText="1"/>
    </xf>
    <xf numFmtId="0" fontId="16" fillId="0" borderId="6" xfId="0" applyFont="1" applyBorder="1" applyAlignment="1">
      <alignment vertical="center"/>
    </xf>
    <xf numFmtId="0" fontId="1" fillId="0" borderId="0" xfId="0" applyFont="1"/>
    <xf numFmtId="0" fontId="14" fillId="0" borderId="8" xfId="0" applyFont="1" applyBorder="1" applyAlignment="1">
      <alignment vertical="center"/>
    </xf>
    <xf numFmtId="0" fontId="14" fillId="9" borderId="8" xfId="0" applyFont="1" applyFill="1" applyBorder="1" applyAlignment="1">
      <alignment vertical="center"/>
    </xf>
    <xf numFmtId="0" fontId="7" fillId="0" borderId="5" xfId="0" applyFont="1" applyBorder="1" applyAlignment="1">
      <alignment vertical="center" wrapText="1"/>
    </xf>
    <xf numFmtId="0" fontId="14" fillId="0" borderId="8" xfId="0" applyFont="1" applyBorder="1" applyAlignment="1">
      <alignment horizontal="center" vertical="center"/>
    </xf>
    <xf numFmtId="0" fontId="14" fillId="9" borderId="8" xfId="0" applyFont="1" applyFill="1" applyBorder="1" applyAlignment="1">
      <alignment horizontal="center" vertical="center"/>
    </xf>
    <xf numFmtId="0" fontId="7" fillId="9" borderId="8" xfId="0" applyFont="1" applyFill="1" applyBorder="1" applyAlignment="1">
      <alignment horizontal="center" vertical="center"/>
    </xf>
    <xf numFmtId="0" fontId="14" fillId="9" borderId="8" xfId="0" applyFont="1" applyFill="1" applyBorder="1" applyAlignment="1">
      <alignment vertical="center" wrapText="1"/>
    </xf>
    <xf numFmtId="0" fontId="0" fillId="9" borderId="8" xfId="0" applyFill="1" applyBorder="1" applyAlignment="1">
      <alignment vertical="center"/>
    </xf>
    <xf numFmtId="16" fontId="7" fillId="9" borderId="9" xfId="0" applyNumberFormat="1" applyFont="1" applyFill="1" applyBorder="1" applyAlignment="1">
      <alignment horizontal="left" vertical="center"/>
    </xf>
    <xf numFmtId="0" fontId="14" fillId="0" borderId="8" xfId="0" applyFont="1" applyBorder="1" applyAlignment="1">
      <alignment horizontal="left" vertical="center"/>
    </xf>
    <xf numFmtId="16" fontId="7" fillId="9" borderId="8" xfId="0" applyNumberFormat="1" applyFont="1" applyFill="1" applyBorder="1" applyAlignment="1">
      <alignment horizontal="left" vertical="center"/>
    </xf>
    <xf numFmtId="0" fontId="14" fillId="0" borderId="3" xfId="0" applyFont="1" applyBorder="1" applyAlignment="1">
      <alignment vertical="center"/>
    </xf>
    <xf numFmtId="0" fontId="1" fillId="5" borderId="5" xfId="0" applyFont="1" applyFill="1" applyBorder="1" applyAlignment="1">
      <alignment vertical="center"/>
    </xf>
    <xf numFmtId="0" fontId="1" fillId="5" borderId="5" xfId="0" applyFont="1" applyFill="1" applyBorder="1" applyAlignment="1">
      <alignment vertical="center" wrapText="1"/>
    </xf>
    <xf numFmtId="0" fontId="0" fillId="5" borderId="5" xfId="0" applyFill="1" applyBorder="1" applyAlignment="1">
      <alignment horizontal="center" vertical="center"/>
    </xf>
    <xf numFmtId="0" fontId="6" fillId="5" borderId="5" xfId="0" applyFont="1" applyFill="1" applyBorder="1" applyAlignment="1">
      <alignment horizontal="center" vertical="center"/>
    </xf>
    <xf numFmtId="0" fontId="1" fillId="5" borderId="5" xfId="0" applyFont="1" applyFill="1" applyBorder="1" applyAlignment="1">
      <alignment horizontal="center" vertical="center"/>
    </xf>
    <xf numFmtId="16" fontId="0" fillId="0" borderId="5" xfId="0" applyNumberFormat="1" applyBorder="1" applyAlignment="1">
      <alignment horizontal="left" vertical="center"/>
    </xf>
    <xf numFmtId="0" fontId="0" fillId="0" borderId="7" xfId="0" applyBorder="1" applyAlignment="1">
      <alignment vertical="center"/>
    </xf>
    <xf numFmtId="0" fontId="8" fillId="0" borderId="5" xfId="4" applyBorder="1" applyAlignment="1">
      <alignment vertical="center"/>
    </xf>
    <xf numFmtId="0" fontId="0" fillId="6" borderId="6" xfId="0" applyFill="1" applyBorder="1" applyAlignment="1">
      <alignment vertical="center" wrapText="1"/>
    </xf>
    <xf numFmtId="0" fontId="0" fillId="6" borderId="6" xfId="0" applyFill="1" applyBorder="1" applyAlignment="1">
      <alignment horizontal="center" vertical="center"/>
    </xf>
    <xf numFmtId="0" fontId="7" fillId="6" borderId="6" xfId="0" applyFont="1" applyFill="1" applyBorder="1" applyAlignment="1">
      <alignment horizontal="center" vertical="center"/>
    </xf>
    <xf numFmtId="0" fontId="10" fillId="6" borderId="6" xfId="0" applyFont="1" applyFill="1" applyBorder="1" applyAlignment="1">
      <alignment vertical="center" wrapText="1"/>
    </xf>
    <xf numFmtId="0" fontId="0" fillId="6" borderId="6" xfId="2" applyFont="1" applyFill="1" applyBorder="1" applyAlignment="1">
      <alignment vertical="center"/>
    </xf>
    <xf numFmtId="16" fontId="7" fillId="6" borderId="10" xfId="0" applyNumberFormat="1" applyFont="1" applyFill="1" applyBorder="1" applyAlignment="1">
      <alignment horizontal="left" vertical="center"/>
    </xf>
    <xf numFmtId="16" fontId="7" fillId="0" borderId="6" xfId="0" applyNumberFormat="1" applyFont="1" applyBorder="1" applyAlignment="1">
      <alignment horizontal="left" vertical="center"/>
    </xf>
    <xf numFmtId="0" fontId="7" fillId="6" borderId="6" xfId="0" applyFont="1" applyFill="1" applyBorder="1" applyAlignment="1">
      <alignment vertical="center"/>
    </xf>
    <xf numFmtId="0" fontId="2" fillId="6" borderId="6" xfId="1" applyFill="1" applyBorder="1" applyAlignment="1">
      <alignment vertical="center"/>
    </xf>
    <xf numFmtId="0" fontId="14" fillId="0" borderId="6" xfId="0" applyFont="1" applyBorder="1" applyAlignment="1">
      <alignment horizontal="center" vertical="center"/>
    </xf>
    <xf numFmtId="0" fontId="14" fillId="10" borderId="6" xfId="0" applyFont="1" applyFill="1" applyBorder="1" applyAlignment="1">
      <alignment vertical="center" wrapText="1"/>
    </xf>
    <xf numFmtId="0" fontId="7" fillId="0" borderId="6" xfId="0" applyFont="1" applyBorder="1" applyAlignment="1">
      <alignment horizontal="left" vertical="center"/>
    </xf>
    <xf numFmtId="0" fontId="14" fillId="0" borderId="6" xfId="0" applyFont="1" applyBorder="1" applyAlignment="1">
      <alignment vertical="center" wrapText="1"/>
    </xf>
    <xf numFmtId="0" fontId="14" fillId="0" borderId="10" xfId="0" applyFont="1" applyBorder="1" applyAlignment="1">
      <alignment vertical="center"/>
    </xf>
    <xf numFmtId="0" fontId="7" fillId="0" borderId="6" xfId="0" applyFont="1" applyBorder="1" applyAlignment="1">
      <alignment vertical="center"/>
    </xf>
    <xf numFmtId="0" fontId="14" fillId="0" borderId="6" xfId="1" applyFont="1" applyFill="1" applyBorder="1" applyAlignment="1">
      <alignment vertical="center"/>
    </xf>
    <xf numFmtId="0" fontId="0" fillId="0" borderId="6" xfId="0" applyBorder="1" applyAlignment="1">
      <alignment horizontal="center" vertical="center"/>
    </xf>
    <xf numFmtId="16" fontId="0" fillId="0" borderId="6" xfId="0" applyNumberFormat="1" applyBorder="1" applyAlignment="1">
      <alignment horizontal="left" vertical="center"/>
    </xf>
    <xf numFmtId="0" fontId="8" fillId="11" borderId="0" xfId="4" applyFill="1" applyAlignment="1">
      <alignment wrapText="1"/>
    </xf>
    <xf numFmtId="16" fontId="7" fillId="12" borderId="6" xfId="0" applyNumberFormat="1" applyFont="1" applyFill="1" applyBorder="1" applyAlignment="1">
      <alignment horizontal="left" vertical="center"/>
    </xf>
    <xf numFmtId="0" fontId="0" fillId="0" borderId="4" xfId="0" applyBorder="1" applyAlignment="1">
      <alignment horizontal="center" vertical="center"/>
    </xf>
  </cellXfs>
  <cellStyles count="5">
    <cellStyle name="Bueno" xfId="1" builtinId="26"/>
    <cellStyle name="Cálculo" xfId="3" builtinId="22"/>
    <cellStyle name="Hipervínculo" xfId="4" builtinId="8"/>
    <cellStyle name="Neutral" xfId="2" builtinId="28"/>
    <cellStyle name="Normal" xfId="0" builtinId="0"/>
  </cellStyles>
  <dxfs count="1">
    <dxf>
      <fill>
        <patternFill patternType="solid">
          <bgColor theme="8"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es-digital.atlassian.net/browse/SCI-5" TargetMode="External"/><Relationship Id="rId13" Type="http://schemas.openxmlformats.org/officeDocument/2006/relationships/hyperlink" Target="https://aes-digital.atlassian.net/browse/SCI-21" TargetMode="External"/><Relationship Id="rId18" Type="http://schemas.openxmlformats.org/officeDocument/2006/relationships/hyperlink" Target="https://aes-digital.atlassian.net/browse/SCI-26" TargetMode="External"/><Relationship Id="rId3" Type="http://schemas.openxmlformats.org/officeDocument/2006/relationships/hyperlink" Target="https://aes-digital.atlassian.net/browse/SCI-6" TargetMode="External"/><Relationship Id="rId21" Type="http://schemas.openxmlformats.org/officeDocument/2006/relationships/hyperlink" Target="https://aes-digital.atlassian.net/browse/SCI-29" TargetMode="External"/><Relationship Id="rId7" Type="http://schemas.openxmlformats.org/officeDocument/2006/relationships/hyperlink" Target="https://aes-digital.atlassian.net/browse/SCI-7" TargetMode="External"/><Relationship Id="rId12" Type="http://schemas.openxmlformats.org/officeDocument/2006/relationships/hyperlink" Target="https://aes-digital.atlassian.net/browse/SCI-20" TargetMode="External"/><Relationship Id="rId17" Type="http://schemas.openxmlformats.org/officeDocument/2006/relationships/hyperlink" Target="https://aes-digital.atlassian.net/browse/SCI-25" TargetMode="External"/><Relationship Id="rId2" Type="http://schemas.openxmlformats.org/officeDocument/2006/relationships/hyperlink" Target="https://aes-digital.atlassian.net/browse/SCI-4" TargetMode="External"/><Relationship Id="rId16" Type="http://schemas.openxmlformats.org/officeDocument/2006/relationships/hyperlink" Target="https://aes-digital.atlassian.net/browse/SCI-24" TargetMode="External"/><Relationship Id="rId20" Type="http://schemas.openxmlformats.org/officeDocument/2006/relationships/hyperlink" Target="https://aes-digital.atlassian.net/browse/SCI-28" TargetMode="External"/><Relationship Id="rId1" Type="http://schemas.openxmlformats.org/officeDocument/2006/relationships/hyperlink" Target="https://aes-digital.atlassian.net/browse/SCI-1" TargetMode="External"/><Relationship Id="rId6" Type="http://schemas.openxmlformats.org/officeDocument/2006/relationships/hyperlink" Target="https://aes-digital.atlassian.net/browse/SCI-10" TargetMode="External"/><Relationship Id="rId11" Type="http://schemas.openxmlformats.org/officeDocument/2006/relationships/hyperlink" Target="https://aes-digital.atlassian.net/browse/SCI-19" TargetMode="External"/><Relationship Id="rId5" Type="http://schemas.openxmlformats.org/officeDocument/2006/relationships/hyperlink" Target="https://inclusionservicesjira.atlassian.net/browse/AES0705-707" TargetMode="External"/><Relationship Id="rId15" Type="http://schemas.openxmlformats.org/officeDocument/2006/relationships/hyperlink" Target="https://aes-digital.atlassian.net/browse/SCI-23" TargetMode="External"/><Relationship Id="rId10" Type="http://schemas.openxmlformats.org/officeDocument/2006/relationships/hyperlink" Target="https://aes-digital.atlassian.net/browse/SCI-8" TargetMode="External"/><Relationship Id="rId19" Type="http://schemas.openxmlformats.org/officeDocument/2006/relationships/hyperlink" Target="https://aes-digital.atlassian.net/browse/SCI-27" TargetMode="External"/><Relationship Id="rId4" Type="http://schemas.openxmlformats.org/officeDocument/2006/relationships/hyperlink" Target="https://aes-digital.atlassian.net/browse/SCI-9" TargetMode="External"/><Relationship Id="rId9" Type="http://schemas.openxmlformats.org/officeDocument/2006/relationships/hyperlink" Target="https://aes-digital.atlassian.net/browse/SCI-18" TargetMode="External"/><Relationship Id="rId14" Type="http://schemas.openxmlformats.org/officeDocument/2006/relationships/hyperlink" Target="https://aes-digital.atlassian.net/browse/SCI-22" TargetMode="External"/><Relationship Id="rId22" Type="http://schemas.openxmlformats.org/officeDocument/2006/relationships/hyperlink" Target="https://aes-digital.atlassian.net/browse/SCI-3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es-digital.atlassian.net/jira/software/projects/SCI/boards/2184"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aes-digital.atlassian.net/browse/SCI-6?atlOrigin=eyJpIjoiMjBhNWIzMmFjMjdiNGE1YzhhZTE4YmM0ZjA0MDM4ZWYiLCJwIjoiZXhjZWwtamlyYSJ9" TargetMode="External"/><Relationship Id="rId13" Type="http://schemas.openxmlformats.org/officeDocument/2006/relationships/hyperlink" Target="https://aes-digital.atlassian.net/browse/SCI-4?atlOrigin=eyJpIjoiMjBhNWIzMmFjMjdiNGE1YzhhZTE4YmM0ZjA0MDM4ZWYiLCJwIjoiZXhjZWwtamlyYSJ9" TargetMode="External"/><Relationship Id="rId18" Type="http://schemas.openxmlformats.org/officeDocument/2006/relationships/hyperlink" Target="https://inclusionservicesjira.atlassian.net/browse/AES0705-698?atlOrigin=eyJpIjoiMjBhNWIzMmFjMjdiNGE1YzhhZTE4YmM0ZjA0MDM4ZWYiLCJwIjoiZXhjZWwtamlyYSJ9" TargetMode="External"/><Relationship Id="rId26" Type="http://schemas.openxmlformats.org/officeDocument/2006/relationships/hyperlink" Target="https://inclusionservicesjira.atlassian.net/browse/AES0705-706?atlOrigin=eyJpIjoiMjBhNWIzMmFjMjdiNGE1YzhhZTE4YmM0ZjA0MDM4ZWYiLCJwIjoiZXhjZWwtamlyYSJ9" TargetMode="External"/><Relationship Id="rId3" Type="http://schemas.openxmlformats.org/officeDocument/2006/relationships/hyperlink" Target="https://aes-digital.atlassian.net/browse/SCI-11?atlOrigin=eyJpIjoiMjBhNWIzMmFjMjdiNGE1YzhhZTE4YmM0ZjA0MDM4ZWYiLCJwIjoiZXhjZWwtamlyYSJ9" TargetMode="External"/><Relationship Id="rId21" Type="http://schemas.openxmlformats.org/officeDocument/2006/relationships/hyperlink" Target="https://inclusionservicesjira.atlassian.net/browse/AES0705-701?atlOrigin=eyJpIjoiMjBhNWIzMmFjMjdiNGE1YzhhZTE4YmM0ZjA0MDM4ZWYiLCJwIjoiZXhjZWwtamlyYSJ9" TargetMode="External"/><Relationship Id="rId7" Type="http://schemas.openxmlformats.org/officeDocument/2006/relationships/hyperlink" Target="https://aes-digital.atlassian.net/browse/SCI-15?atlOrigin=eyJpIjoiMjBhNWIzMmFjMjdiNGE1YzhhZTE4YmM0ZjA0MDM4ZWYiLCJwIjoiZXhjZWwtamlyYSJ9" TargetMode="External"/><Relationship Id="rId12" Type="http://schemas.openxmlformats.org/officeDocument/2006/relationships/hyperlink" Target="https://aes-digital.atlassian.net/browse/SCI-3?atlOrigin=eyJpIjoiMjBhNWIzMmFjMjdiNGE1YzhhZTE4YmM0ZjA0MDM4ZWYiLCJwIjoiZXhjZWwtamlyYSJ9" TargetMode="External"/><Relationship Id="rId17" Type="http://schemas.openxmlformats.org/officeDocument/2006/relationships/hyperlink" Target="https://inclusionservicesjira.atlassian.net/browse/AES0705-697?atlOrigin=eyJpIjoiMjBhNWIzMmFjMjdiNGE1YzhhZTE4YmM0ZjA0MDM4ZWYiLCJwIjoiZXhjZWwtamlyYSJ9" TargetMode="External"/><Relationship Id="rId25" Type="http://schemas.openxmlformats.org/officeDocument/2006/relationships/hyperlink" Target="https://inclusionservicesjira.atlassian.net/browse/AES0705-705?atlOrigin=eyJpIjoiMjBhNWIzMmFjMjdiNGE1YzhhZTE4YmM0ZjA0MDM4ZWYiLCJwIjoiZXhjZWwtamlyYSJ9" TargetMode="External"/><Relationship Id="rId2" Type="http://schemas.openxmlformats.org/officeDocument/2006/relationships/hyperlink" Target="https://aes-digital.atlassian.net/browse/SCI-8?atlOrigin=eyJpIjoiMjBhNWIzMmFjMjdiNGE1YzhhZTE4YmM0ZjA0MDM4ZWYiLCJwIjoiZXhjZWwtamlyYSJ9" TargetMode="External"/><Relationship Id="rId16" Type="http://schemas.openxmlformats.org/officeDocument/2006/relationships/hyperlink" Target="https://inclusionservicesjira.atlassian.net/browse/AES0705-696?atlOrigin=eyJpIjoiMjBhNWIzMmFjMjdiNGE1YzhhZTE4YmM0ZjA0MDM4ZWYiLCJwIjoiZXhjZWwtamlyYSJ9" TargetMode="External"/><Relationship Id="rId20" Type="http://schemas.openxmlformats.org/officeDocument/2006/relationships/hyperlink" Target="https://inclusionservicesjira.atlassian.net/browse/AES0705-700?atlOrigin=eyJpIjoiMjBhNWIzMmFjMjdiNGE1YzhhZTE4YmM0ZjA0MDM4ZWYiLCJwIjoiZXhjZWwtamlyYSJ9" TargetMode="External"/><Relationship Id="rId1" Type="http://schemas.openxmlformats.org/officeDocument/2006/relationships/hyperlink" Target="https://aes-digital.atlassian.net/browse/SCI-5?atlOrigin=eyJpIjoiMjBhNWIzMmFjMjdiNGE1YzhhZTE4YmM0ZjA0MDM4ZWYiLCJwIjoiZXhjZWwtamlyYSJ9" TargetMode="External"/><Relationship Id="rId6" Type="http://schemas.openxmlformats.org/officeDocument/2006/relationships/hyperlink" Target="https://aes-digital.atlassian.net/browse/SCI-14?atlOrigin=eyJpIjoiMjBhNWIzMmFjMjdiNGE1YzhhZTE4YmM0ZjA0MDM4ZWYiLCJwIjoiZXhjZWwtamlyYSJ9" TargetMode="External"/><Relationship Id="rId11" Type="http://schemas.openxmlformats.org/officeDocument/2006/relationships/hyperlink" Target="https://aes-digital.atlassian.net/browse/SCI-2?atlOrigin=eyJpIjoiMjBhNWIzMmFjMjdiNGE1YzhhZTE4YmM0ZjA0MDM4ZWYiLCJwIjoiZXhjZWwtamlyYSJ9" TargetMode="External"/><Relationship Id="rId24" Type="http://schemas.openxmlformats.org/officeDocument/2006/relationships/hyperlink" Target="https://inclusionservicesjira.atlassian.net/browse/AES0705-704?atlOrigin=eyJpIjoiMjBhNWIzMmFjMjdiNGE1YzhhZTE4YmM0ZjA0MDM4ZWYiLCJwIjoiZXhjZWwtamlyYSJ9" TargetMode="External"/><Relationship Id="rId5" Type="http://schemas.openxmlformats.org/officeDocument/2006/relationships/hyperlink" Target="https://aes-digital.atlassian.net/browse/SCI-13?atlOrigin=eyJpIjoiMjBhNWIzMmFjMjdiNGE1YzhhZTE4YmM0ZjA0MDM4ZWYiLCJwIjoiZXhjZWwtamlyYSJ9" TargetMode="External"/><Relationship Id="rId15" Type="http://schemas.openxmlformats.org/officeDocument/2006/relationships/hyperlink" Target="https://aes-digital.atlassian.net/browse/SCI-1?atlOrigin=eyJpIjoiMjBhNWIzMmFjMjdiNGE1YzhhZTE4YmM0ZjA0MDM4ZWYiLCJwIjoiZXhjZWwtamlyYSJ9" TargetMode="External"/><Relationship Id="rId23" Type="http://schemas.openxmlformats.org/officeDocument/2006/relationships/hyperlink" Target="https://inclusionservicesjira.atlassian.net/browse/AES0705-703?atlOrigin=eyJpIjoiMjBhNWIzMmFjMjdiNGE1YzhhZTE4YmM0ZjA0MDM4ZWYiLCJwIjoiZXhjZWwtamlyYSJ9" TargetMode="External"/><Relationship Id="rId28" Type="http://schemas.openxmlformats.org/officeDocument/2006/relationships/hyperlink" Target="https://inclusionservicesjira.atlassian.net/browse/AES0705-717?atlOrigin=eyJpIjoiMjBhNWIzMmFjMjdiNGE1YzhhZTE4YmM0ZjA0MDM4ZWYiLCJwIjoiZXhjZWwtamlyYSJ9" TargetMode="External"/><Relationship Id="rId10" Type="http://schemas.openxmlformats.org/officeDocument/2006/relationships/hyperlink" Target="https://aes-digital.atlassian.net/browse/SCI-10?atlOrigin=eyJpIjoiMjBhNWIzMmFjMjdiNGE1YzhhZTE4YmM0ZjA0MDM4ZWYiLCJwIjoiZXhjZWwtamlyYSJ9" TargetMode="External"/><Relationship Id="rId19" Type="http://schemas.openxmlformats.org/officeDocument/2006/relationships/hyperlink" Target="https://inclusionservicesjira.atlassian.net/browse/AES0705-699?atlOrigin=eyJpIjoiMjBhNWIzMmFjMjdiNGE1YzhhZTE4YmM0ZjA0MDM4ZWYiLCJwIjoiZXhjZWwtamlyYSJ9" TargetMode="External"/><Relationship Id="rId4" Type="http://schemas.openxmlformats.org/officeDocument/2006/relationships/hyperlink" Target="https://aes-digital.atlassian.net/browse/SCI-12?atlOrigin=eyJpIjoiMjBhNWIzMmFjMjdiNGE1YzhhZTE4YmM0ZjA0MDM4ZWYiLCJwIjoiZXhjZWwtamlyYSJ9" TargetMode="External"/><Relationship Id="rId9" Type="http://schemas.openxmlformats.org/officeDocument/2006/relationships/hyperlink" Target="https://aes-digital.atlassian.net/browse/SCI-9?atlOrigin=eyJpIjoiMjBhNWIzMmFjMjdiNGE1YzhhZTE4YmM0ZjA0MDM4ZWYiLCJwIjoiZXhjZWwtamlyYSJ9" TargetMode="External"/><Relationship Id="rId14" Type="http://schemas.openxmlformats.org/officeDocument/2006/relationships/hyperlink" Target="https://aes-digital.atlassian.net/browse/SCI-7?atlOrigin=eyJpIjoiMjBhNWIzMmFjMjdiNGE1YzhhZTE4YmM0ZjA0MDM4ZWYiLCJwIjoiZXhjZWwtamlyYSJ9" TargetMode="External"/><Relationship Id="rId22" Type="http://schemas.openxmlformats.org/officeDocument/2006/relationships/hyperlink" Target="https://inclusionservicesjira.atlassian.net/browse/AES0705-702?atlOrigin=eyJpIjoiMjBhNWIzMmFjMjdiNGE1YzhhZTE4YmM0ZjA0MDM4ZWYiLCJwIjoiZXhjZWwtamlyYSJ9" TargetMode="External"/><Relationship Id="rId27" Type="http://schemas.openxmlformats.org/officeDocument/2006/relationships/hyperlink" Target="https://inclusionservicesjira.atlassian.net/browse/AES0705-707?atlOrigin=eyJpIjoiMjBhNWIzMmFjMjdiNGE1YzhhZTE4YmM0ZjA0MDM4ZWYiLCJwIjoiZXhjZWwtamlyYSJ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4"/>
  <sheetViews>
    <sheetView tabSelected="1" zoomScale="110" zoomScaleNormal="110" workbookViewId="0">
      <pane ySplit="1" topLeftCell="A9" activePane="bottomLeft" state="frozen"/>
      <selection pane="bottomLeft" activeCell="M1" sqref="A1:M29"/>
    </sheetView>
  </sheetViews>
  <sheetFormatPr baseColWidth="10" defaultColWidth="67.83203125" defaultRowHeight="19.5" customHeight="1" x14ac:dyDescent="0.2"/>
  <cols>
    <col min="1" max="1" width="12" style="6" bestFit="1" customWidth="1"/>
    <col min="2" max="2" width="15.83203125" style="20" customWidth="1"/>
    <col min="3" max="3" width="4.5" style="19" bestFit="1" customWidth="1"/>
    <col min="4" max="4" width="9.6640625" style="19" bestFit="1" customWidth="1"/>
    <col min="5" max="5" width="60.5" style="6" customWidth="1"/>
    <col min="6" max="6" width="21" style="6" bestFit="1" customWidth="1"/>
    <col min="7" max="7" width="15.83203125" style="6" customWidth="1"/>
    <col min="8" max="8" width="15.1640625" style="6" bestFit="1" customWidth="1"/>
    <col min="9" max="9" width="10" style="19" bestFit="1" customWidth="1"/>
    <col min="10" max="10" width="11.5" style="84" bestFit="1" customWidth="1"/>
    <col min="11" max="11" width="13.33203125" style="84" bestFit="1" customWidth="1"/>
    <col min="12" max="13" width="13.33203125" style="84" customWidth="1"/>
    <col min="14" max="14" width="58.5" style="20" customWidth="1"/>
    <col min="15" max="15" width="57.5" style="6" bestFit="1" customWidth="1"/>
    <col min="16" max="16" width="29.5" style="6" bestFit="1" customWidth="1"/>
    <col min="17" max="17" width="105.33203125" style="6" customWidth="1"/>
    <col min="18" max="18" width="21" style="6" bestFit="1" customWidth="1"/>
    <col min="19" max="19" width="8.6640625" style="6" bestFit="1" customWidth="1"/>
    <col min="20" max="20" width="58.1640625" style="6" bestFit="1" customWidth="1"/>
    <col min="21" max="21" width="12.6640625" style="6" bestFit="1" customWidth="1"/>
    <col min="22" max="39" width="1.5" style="6" bestFit="1" customWidth="1"/>
    <col min="40" max="16384" width="67.83203125" style="6"/>
  </cols>
  <sheetData>
    <row r="1" spans="1:39" s="16" customFormat="1" ht="16" x14ac:dyDescent="0.2">
      <c r="A1" s="125" t="s">
        <v>0</v>
      </c>
      <c r="B1" s="126" t="s">
        <v>1</v>
      </c>
      <c r="C1" s="127" t="s">
        <v>2</v>
      </c>
      <c r="D1" s="128" t="s">
        <v>3</v>
      </c>
      <c r="E1" s="125" t="s">
        <v>4</v>
      </c>
      <c r="F1" s="125" t="s">
        <v>5</v>
      </c>
      <c r="G1" s="125" t="s">
        <v>6</v>
      </c>
      <c r="H1" s="125" t="s">
        <v>7</v>
      </c>
      <c r="I1" s="129" t="s">
        <v>8</v>
      </c>
      <c r="J1" s="73" t="s">
        <v>9</v>
      </c>
      <c r="K1" s="73" t="s">
        <v>10</v>
      </c>
      <c r="L1" s="73" t="s">
        <v>11</v>
      </c>
      <c r="M1" s="73" t="s">
        <v>12</v>
      </c>
      <c r="N1" s="9" t="s">
        <v>13</v>
      </c>
      <c r="O1" s="8" t="s">
        <v>14</v>
      </c>
      <c r="P1" s="8" t="s">
        <v>15</v>
      </c>
      <c r="Q1" s="10" t="s">
        <v>16</v>
      </c>
      <c r="R1" s="16" t="s">
        <v>17</v>
      </c>
      <c r="T1" s="16" t="s">
        <v>18</v>
      </c>
      <c r="U1" s="16" t="s">
        <v>19</v>
      </c>
    </row>
    <row r="2" spans="1:39" s="17" customFormat="1" ht="51" customHeight="1" x14ac:dyDescent="0.2">
      <c r="A2" s="21" t="s">
        <v>20</v>
      </c>
      <c r="B2" s="44" t="s">
        <v>21</v>
      </c>
      <c r="C2" s="22"/>
      <c r="D2" s="23" t="s">
        <v>22</v>
      </c>
      <c r="E2" s="24" t="s">
        <v>23</v>
      </c>
      <c r="F2" s="62" t="s">
        <v>24</v>
      </c>
      <c r="G2" s="63" t="s">
        <v>25</v>
      </c>
      <c r="H2" s="63"/>
      <c r="I2" s="45"/>
      <c r="J2" s="80">
        <v>46142</v>
      </c>
      <c r="K2" s="75" t="s">
        <v>26</v>
      </c>
      <c r="L2" s="75"/>
      <c r="M2" s="75"/>
      <c r="N2" s="44"/>
      <c r="O2" s="21"/>
      <c r="P2" s="21"/>
      <c r="Q2" s="46" t="s">
        <v>27</v>
      </c>
      <c r="R2" s="25" t="str">
        <f t="shared" ref="R2:R8" si="0">+F2</f>
        <v>Done</v>
      </c>
      <c r="S2" s="6"/>
      <c r="T2" s="6"/>
      <c r="U2" s="6" t="s">
        <v>28</v>
      </c>
      <c r="V2" s="6"/>
      <c r="W2" s="6"/>
      <c r="X2" s="6"/>
      <c r="Y2" s="6"/>
      <c r="Z2" s="6"/>
      <c r="AA2" s="6"/>
      <c r="AB2" s="6"/>
      <c r="AC2" s="6"/>
      <c r="AD2" s="6"/>
      <c r="AE2" s="6"/>
      <c r="AF2" s="6"/>
      <c r="AG2" s="6"/>
      <c r="AH2" s="6"/>
      <c r="AI2" s="6"/>
      <c r="AJ2" s="6"/>
      <c r="AK2" s="6"/>
      <c r="AL2" s="6"/>
      <c r="AM2" s="6"/>
    </row>
    <row r="3" spans="1:39" s="17" customFormat="1" ht="19.5" customHeight="1" x14ac:dyDescent="0.2">
      <c r="A3" s="103" t="s">
        <v>20</v>
      </c>
      <c r="B3" s="133" t="s">
        <v>29</v>
      </c>
      <c r="C3" s="134">
        <v>449</v>
      </c>
      <c r="D3" s="135" t="s">
        <v>30</v>
      </c>
      <c r="E3" s="136" t="s">
        <v>31</v>
      </c>
      <c r="F3" s="71" t="s">
        <v>32</v>
      </c>
      <c r="G3" s="111" t="s">
        <v>25</v>
      </c>
      <c r="H3" s="137" t="s">
        <v>33</v>
      </c>
      <c r="I3" s="134"/>
      <c r="J3" s="138">
        <v>46164</v>
      </c>
      <c r="K3" s="139">
        <v>46121</v>
      </c>
      <c r="L3" s="152">
        <v>46175</v>
      </c>
      <c r="M3" t="s">
        <v>34</v>
      </c>
      <c r="N3" s="133"/>
      <c r="O3" s="103"/>
      <c r="P3" s="103"/>
      <c r="Q3" s="140" t="s">
        <v>35</v>
      </c>
      <c r="R3" s="141" t="str">
        <f t="shared" si="0"/>
        <v>Ready to move to RPC</v>
      </c>
    </row>
    <row r="4" spans="1:39" s="17" customFormat="1" ht="19.5" customHeight="1" x14ac:dyDescent="0.2">
      <c r="A4" s="35" t="s">
        <v>36</v>
      </c>
      <c r="B4" s="44" t="s">
        <v>37</v>
      </c>
      <c r="C4" s="36">
        <v>449</v>
      </c>
      <c r="D4" s="37" t="s">
        <v>38</v>
      </c>
      <c r="E4" s="38" t="s">
        <v>39</v>
      </c>
      <c r="F4" s="21" t="s">
        <v>32</v>
      </c>
      <c r="G4" s="69" t="s">
        <v>25</v>
      </c>
      <c r="H4" s="65" t="s">
        <v>33</v>
      </c>
      <c r="I4" s="36"/>
      <c r="J4" s="74">
        <v>46164</v>
      </c>
      <c r="K4" s="82">
        <v>46121</v>
      </c>
      <c r="L4" s="152">
        <v>46175</v>
      </c>
      <c r="M4" t="s">
        <v>34</v>
      </c>
      <c r="N4" s="42"/>
      <c r="O4" s="55"/>
      <c r="P4" s="35"/>
      <c r="Q4" s="53" t="s">
        <v>40</v>
      </c>
      <c r="R4" s="54" t="str">
        <f t="shared" si="0"/>
        <v>Ready to move to RPC</v>
      </c>
    </row>
    <row r="5" spans="1:39" s="11" customFormat="1" ht="19.5" customHeight="1" x14ac:dyDescent="0.2">
      <c r="A5" s="35" t="s">
        <v>36</v>
      </c>
      <c r="B5" s="44" t="s">
        <v>41</v>
      </c>
      <c r="C5" s="36">
        <v>462</v>
      </c>
      <c r="D5" s="37" t="s">
        <v>42</v>
      </c>
      <c r="E5" s="38" t="s">
        <v>43</v>
      </c>
      <c r="F5" s="21" t="s">
        <v>32</v>
      </c>
      <c r="G5" s="43" t="s">
        <v>25</v>
      </c>
      <c r="H5" s="43" t="s">
        <v>44</v>
      </c>
      <c r="I5" s="56">
        <v>1</v>
      </c>
      <c r="J5" s="74">
        <v>46164</v>
      </c>
      <c r="K5" s="80">
        <v>46121</v>
      </c>
      <c r="L5" s="152">
        <v>46175</v>
      </c>
      <c r="M5" t="s">
        <v>34</v>
      </c>
      <c r="N5" s="42" t="s">
        <v>45</v>
      </c>
      <c r="O5" s="55" t="s">
        <v>46</v>
      </c>
      <c r="P5" s="42" t="s">
        <v>47</v>
      </c>
      <c r="Q5" s="57" t="s">
        <v>48</v>
      </c>
      <c r="R5" s="54" t="str">
        <f t="shared" si="0"/>
        <v>Ready to move to RPC</v>
      </c>
      <c r="S5" s="18">
        <f>+J5+2</f>
        <v>46166</v>
      </c>
      <c r="T5" s="17"/>
      <c r="U5" s="17"/>
      <c r="V5" s="17"/>
      <c r="W5" s="17"/>
      <c r="X5" s="17"/>
      <c r="Y5" s="17"/>
      <c r="Z5" s="17"/>
      <c r="AA5" s="17"/>
      <c r="AB5" s="17"/>
      <c r="AC5" s="17"/>
      <c r="AD5" s="17"/>
      <c r="AE5" s="17"/>
      <c r="AF5" s="17"/>
      <c r="AG5" s="17"/>
      <c r="AH5" s="17"/>
      <c r="AI5" s="17"/>
      <c r="AJ5" s="17"/>
      <c r="AK5" s="17"/>
      <c r="AL5" s="17"/>
      <c r="AM5" s="17"/>
    </row>
    <row r="6" spans="1:39" ht="19.5" customHeight="1" x14ac:dyDescent="0.2">
      <c r="A6" s="39" t="s">
        <v>36</v>
      </c>
      <c r="B6" s="44" t="s">
        <v>41</v>
      </c>
      <c r="C6" s="40"/>
      <c r="D6" s="41" t="s">
        <v>49</v>
      </c>
      <c r="E6" s="32" t="s">
        <v>50</v>
      </c>
      <c r="F6" s="21" t="s">
        <v>51</v>
      </c>
      <c r="G6" s="69" t="s">
        <v>52</v>
      </c>
      <c r="H6" s="66" t="s">
        <v>44</v>
      </c>
      <c r="I6" s="40"/>
      <c r="J6" s="77" t="s">
        <v>53</v>
      </c>
      <c r="K6" s="81" t="s">
        <v>26</v>
      </c>
      <c r="L6" s="81"/>
      <c r="M6" s="81"/>
      <c r="N6" s="33" t="s">
        <v>54</v>
      </c>
      <c r="O6" s="58"/>
      <c r="P6" s="58"/>
      <c r="Q6" s="59" t="s">
        <v>55</v>
      </c>
      <c r="R6" s="50" t="str">
        <f t="shared" si="0"/>
        <v>To Do</v>
      </c>
      <c r="S6" s="14" t="e">
        <f>+J6+2</f>
        <v>#VALUE!</v>
      </c>
      <c r="T6" s="13"/>
      <c r="U6" s="13"/>
      <c r="V6" s="13"/>
      <c r="W6" s="13"/>
      <c r="X6" s="13"/>
      <c r="Y6" s="13"/>
      <c r="Z6" s="13"/>
      <c r="AA6" s="13"/>
      <c r="AB6" s="13"/>
      <c r="AC6" s="13"/>
      <c r="AD6" s="13"/>
      <c r="AE6" s="13"/>
      <c r="AF6" s="13"/>
      <c r="AG6" s="13"/>
      <c r="AH6" s="13"/>
      <c r="AI6" s="13"/>
      <c r="AJ6" s="13"/>
      <c r="AK6" s="13"/>
      <c r="AL6" s="13"/>
      <c r="AM6" s="13"/>
    </row>
    <row r="7" spans="1:39" s="11" customFormat="1" ht="19.5" customHeight="1" x14ac:dyDescent="0.2">
      <c r="A7" s="30" t="s">
        <v>36</v>
      </c>
      <c r="B7" s="44" t="s">
        <v>41</v>
      </c>
      <c r="C7" s="31">
        <v>453</v>
      </c>
      <c r="D7" s="23" t="s">
        <v>56</v>
      </c>
      <c r="E7" s="33" t="s">
        <v>57</v>
      </c>
      <c r="F7" s="21" t="s">
        <v>32</v>
      </c>
      <c r="G7" s="69" t="s">
        <v>25</v>
      </c>
      <c r="H7" s="67" t="s">
        <v>44</v>
      </c>
      <c r="I7" s="31">
        <v>1</v>
      </c>
      <c r="J7" s="74">
        <v>46164</v>
      </c>
      <c r="K7" s="82">
        <v>46121</v>
      </c>
      <c r="L7" s="152">
        <v>46175</v>
      </c>
      <c r="M7" t="s">
        <v>34</v>
      </c>
      <c r="N7" s="33" t="s">
        <v>58</v>
      </c>
      <c r="O7" s="60" t="s">
        <v>59</v>
      </c>
      <c r="P7" s="60" t="s">
        <v>60</v>
      </c>
      <c r="Q7" s="61" t="s">
        <v>61</v>
      </c>
      <c r="R7" s="50" t="str">
        <f t="shared" si="0"/>
        <v>Ready to move to RPC</v>
      </c>
      <c r="S7" s="12">
        <f>+J7+2</f>
        <v>46166</v>
      </c>
    </row>
    <row r="8" spans="1:39" s="13" customFormat="1" ht="19.5" customHeight="1" x14ac:dyDescent="0.2">
      <c r="A8" s="35" t="s">
        <v>36</v>
      </c>
      <c r="B8" s="42" t="s">
        <v>62</v>
      </c>
      <c r="C8" s="36">
        <v>454</v>
      </c>
      <c r="D8" s="37" t="s">
        <v>63</v>
      </c>
      <c r="E8" s="42" t="s">
        <v>64</v>
      </c>
      <c r="F8" s="21" t="s">
        <v>32</v>
      </c>
      <c r="G8" s="69" t="s">
        <v>25</v>
      </c>
      <c r="H8" s="43" t="s">
        <v>44</v>
      </c>
      <c r="I8" s="56">
        <v>1</v>
      </c>
      <c r="J8" s="74">
        <v>46164</v>
      </c>
      <c r="K8" s="80">
        <v>46121</v>
      </c>
      <c r="L8" s="152">
        <v>46175</v>
      </c>
      <c r="M8" t="s">
        <v>34</v>
      </c>
      <c r="N8" s="42" t="s">
        <v>65</v>
      </c>
      <c r="O8" s="55"/>
      <c r="P8" s="60" t="s">
        <v>66</v>
      </c>
      <c r="Q8" s="57" t="s">
        <v>67</v>
      </c>
      <c r="R8" s="54" t="str">
        <f t="shared" si="0"/>
        <v>Ready to move to RPC</v>
      </c>
      <c r="S8" s="18">
        <f>+J8+2</f>
        <v>46166</v>
      </c>
      <c r="T8" s="17"/>
      <c r="U8" s="17"/>
      <c r="V8" s="17"/>
      <c r="W8" s="17"/>
      <c r="X8" s="17"/>
      <c r="Y8" s="17"/>
      <c r="Z8" s="17"/>
      <c r="AA8" s="17"/>
      <c r="AB8" s="17"/>
      <c r="AC8" s="17"/>
      <c r="AD8" s="17"/>
      <c r="AE8" s="17"/>
      <c r="AF8" s="17"/>
      <c r="AG8" s="17"/>
      <c r="AH8" s="17"/>
      <c r="AI8" s="17"/>
      <c r="AJ8" s="17"/>
      <c r="AK8" s="17"/>
      <c r="AL8" s="17"/>
      <c r="AM8" s="17"/>
    </row>
    <row r="9" spans="1:39" ht="16" x14ac:dyDescent="0.2">
      <c r="A9" s="91" t="s">
        <v>36</v>
      </c>
      <c r="B9" s="115" t="s">
        <v>41</v>
      </c>
      <c r="C9" s="87">
        <v>455</v>
      </c>
      <c r="D9" s="88" t="s">
        <v>68</v>
      </c>
      <c r="E9" s="92" t="s">
        <v>69</v>
      </c>
      <c r="F9" s="85" t="s">
        <v>51</v>
      </c>
      <c r="G9" s="106" t="s">
        <v>52</v>
      </c>
      <c r="H9" s="85"/>
      <c r="I9" s="87"/>
      <c r="J9" s="90" t="s">
        <v>53</v>
      </c>
      <c r="K9" s="89"/>
      <c r="L9" s="89"/>
      <c r="M9" s="89"/>
      <c r="N9" s="86"/>
      <c r="O9" s="21"/>
      <c r="P9" s="21"/>
      <c r="Q9" s="52" t="s">
        <v>70</v>
      </c>
      <c r="R9" s="21"/>
    </row>
    <row r="10" spans="1:39" ht="39.75" customHeight="1" x14ac:dyDescent="0.2">
      <c r="A10" s="91" t="s">
        <v>36</v>
      </c>
      <c r="B10" s="85"/>
      <c r="C10" s="87">
        <v>463</v>
      </c>
      <c r="D10" s="88" t="s">
        <v>71</v>
      </c>
      <c r="E10" s="92" t="s">
        <v>72</v>
      </c>
      <c r="F10" s="85" t="s">
        <v>32</v>
      </c>
      <c r="G10" s="106" t="s">
        <v>25</v>
      </c>
      <c r="H10" s="85" t="s">
        <v>44</v>
      </c>
      <c r="I10" s="87">
        <v>1</v>
      </c>
      <c r="J10" s="130">
        <v>46165</v>
      </c>
      <c r="K10" s="130">
        <f>+J10-21</f>
        <v>46144</v>
      </c>
      <c r="L10" s="152">
        <v>46175</v>
      </c>
      <c r="M10" t="s">
        <v>34</v>
      </c>
      <c r="N10" s="86" t="s">
        <v>58</v>
      </c>
      <c r="O10" s="131" t="s">
        <v>73</v>
      </c>
      <c r="P10" s="85" t="s">
        <v>74</v>
      </c>
      <c r="Q10" s="132" t="s">
        <v>75</v>
      </c>
      <c r="R10" s="85" t="str">
        <f t="shared" ref="R10:R17" si="1">+F10</f>
        <v>Ready to move to RPC</v>
      </c>
      <c r="S10" s="6" t="e">
        <f>+#REF!+2</f>
        <v>#REF!</v>
      </c>
      <c r="T10" s="6" t="s">
        <v>76</v>
      </c>
    </row>
    <row r="11" spans="1:39" ht="19.5" customHeight="1" x14ac:dyDescent="0.2">
      <c r="A11" s="26" t="s">
        <v>36</v>
      </c>
      <c r="B11" s="44" t="s">
        <v>41</v>
      </c>
      <c r="C11" s="27">
        <v>456</v>
      </c>
      <c r="D11" s="28" t="s">
        <v>77</v>
      </c>
      <c r="E11" s="29" t="s">
        <v>78</v>
      </c>
      <c r="F11" s="26" t="s">
        <v>79</v>
      </c>
      <c r="G11" s="64" t="s">
        <v>52</v>
      </c>
      <c r="H11" s="64" t="s">
        <v>44</v>
      </c>
      <c r="I11" s="27">
        <v>3</v>
      </c>
      <c r="J11" s="76">
        <v>46165</v>
      </c>
      <c r="K11" s="76">
        <f>+J11+7</f>
        <v>46172</v>
      </c>
      <c r="L11" s="76"/>
      <c r="M11" s="76"/>
      <c r="N11" s="29" t="s">
        <v>80</v>
      </c>
      <c r="O11" s="47" t="s">
        <v>81</v>
      </c>
      <c r="P11" s="47" t="s">
        <v>82</v>
      </c>
      <c r="Q11" s="48" t="s">
        <v>83</v>
      </c>
      <c r="R11" s="49" t="str">
        <f t="shared" si="1"/>
        <v>In Development</v>
      </c>
      <c r="S11" s="15"/>
      <c r="T11" s="15"/>
      <c r="U11" s="15"/>
      <c r="V11" s="15"/>
      <c r="W11" s="15"/>
      <c r="X11" s="15"/>
      <c r="Y11" s="15"/>
      <c r="Z11" s="15"/>
      <c r="AA11" s="15"/>
      <c r="AB11" s="15"/>
      <c r="AC11" s="15"/>
      <c r="AD11" s="15"/>
      <c r="AE11" s="15"/>
      <c r="AF11" s="15"/>
      <c r="AG11" s="15"/>
      <c r="AH11" s="15"/>
      <c r="AI11" s="15"/>
      <c r="AJ11" s="15"/>
      <c r="AK11" s="15"/>
      <c r="AL11" s="15"/>
      <c r="AM11" s="15"/>
    </row>
    <row r="12" spans="1:39" ht="19.5" customHeight="1" x14ac:dyDescent="0.2">
      <c r="A12" s="72" t="s">
        <v>36</v>
      </c>
      <c r="B12" s="105" t="s">
        <v>41</v>
      </c>
      <c r="C12" s="142"/>
      <c r="D12" s="104" t="s">
        <v>84</v>
      </c>
      <c r="E12" s="143" t="s">
        <v>85</v>
      </c>
      <c r="F12" s="71" t="s">
        <v>51</v>
      </c>
      <c r="G12" s="71" t="s">
        <v>53</v>
      </c>
      <c r="H12" s="71" t="s">
        <v>44</v>
      </c>
      <c r="I12" s="142"/>
      <c r="J12" s="144" t="s">
        <v>53</v>
      </c>
      <c r="K12" s="144" t="s">
        <v>26</v>
      </c>
      <c r="L12" s="144"/>
      <c r="M12" s="144"/>
      <c r="N12" s="145" t="s">
        <v>54</v>
      </c>
      <c r="O12" s="146"/>
      <c r="P12" s="72"/>
      <c r="Q12" s="147" t="s">
        <v>86</v>
      </c>
      <c r="R12" s="148" t="str">
        <f t="shared" si="1"/>
        <v>To Do</v>
      </c>
      <c r="S12" s="11"/>
      <c r="T12" s="11"/>
      <c r="U12" s="11"/>
      <c r="V12" s="11"/>
      <c r="W12" s="11"/>
      <c r="X12" s="11"/>
      <c r="Y12" s="11"/>
      <c r="Z12" s="11"/>
      <c r="AA12" s="11"/>
      <c r="AB12" s="11"/>
      <c r="AC12" s="11"/>
      <c r="AD12" s="11"/>
      <c r="AE12" s="11"/>
      <c r="AF12" s="11"/>
      <c r="AG12" s="11"/>
      <c r="AH12" s="11"/>
      <c r="AI12" s="11"/>
      <c r="AJ12" s="11"/>
      <c r="AK12" s="11"/>
      <c r="AL12" s="11"/>
      <c r="AM12" s="11"/>
    </row>
    <row r="13" spans="1:39" ht="19.5" customHeight="1" x14ac:dyDescent="0.2">
      <c r="A13" s="114" t="s">
        <v>36</v>
      </c>
      <c r="B13" s="94" t="s">
        <v>41</v>
      </c>
      <c r="C13" s="117">
        <v>458</v>
      </c>
      <c r="D13" s="118" t="s">
        <v>87</v>
      </c>
      <c r="E13" s="119" t="s">
        <v>88</v>
      </c>
      <c r="F13" s="114" t="s">
        <v>79</v>
      </c>
      <c r="G13" s="120" t="s">
        <v>52</v>
      </c>
      <c r="H13" s="120" t="s">
        <v>89</v>
      </c>
      <c r="I13" s="117">
        <v>2</v>
      </c>
      <c r="J13" s="121">
        <v>46165</v>
      </c>
      <c r="K13" s="123">
        <f>+J13+7</f>
        <v>46172</v>
      </c>
      <c r="L13" s="123"/>
      <c r="M13" s="123"/>
      <c r="N13" s="119" t="s">
        <v>90</v>
      </c>
      <c r="O13" s="26"/>
      <c r="P13" s="47" t="s">
        <v>82</v>
      </c>
      <c r="Q13" s="51" t="s">
        <v>91</v>
      </c>
      <c r="R13" s="49" t="str">
        <f t="shared" si="1"/>
        <v>In Development</v>
      </c>
      <c r="S13" s="15"/>
      <c r="T13" s="15"/>
      <c r="U13" s="15"/>
      <c r="V13" s="15"/>
      <c r="W13" s="15"/>
      <c r="X13" s="15"/>
      <c r="Y13" s="15"/>
      <c r="Z13" s="15"/>
      <c r="AA13" s="15"/>
      <c r="AB13" s="15"/>
      <c r="AC13" s="15"/>
      <c r="AD13" s="15"/>
      <c r="AE13" s="15"/>
      <c r="AF13" s="15"/>
      <c r="AG13" s="15"/>
      <c r="AH13" s="15"/>
      <c r="AI13" s="15"/>
      <c r="AJ13" s="15"/>
      <c r="AK13" s="15"/>
      <c r="AL13" s="15"/>
      <c r="AM13" s="15"/>
    </row>
    <row r="14" spans="1:39" ht="19.5" customHeight="1" x14ac:dyDescent="0.2">
      <c r="A14" s="30" t="s">
        <v>36</v>
      </c>
      <c r="B14" s="44" t="s">
        <v>41</v>
      </c>
      <c r="C14" s="31" t="s">
        <v>26</v>
      </c>
      <c r="D14" s="31" t="s">
        <v>92</v>
      </c>
      <c r="E14" s="33" t="s">
        <v>93</v>
      </c>
      <c r="F14" s="21" t="s">
        <v>51</v>
      </c>
      <c r="G14" s="21" t="s">
        <v>53</v>
      </c>
      <c r="H14" s="21" t="s">
        <v>94</v>
      </c>
      <c r="I14" s="31"/>
      <c r="J14" s="75" t="s">
        <v>53</v>
      </c>
      <c r="K14" s="78" t="s">
        <v>26</v>
      </c>
      <c r="L14" s="78"/>
      <c r="M14" s="78"/>
      <c r="N14" s="33"/>
      <c r="O14" s="124"/>
      <c r="P14" s="30"/>
      <c r="Q14" s="30" t="s">
        <v>95</v>
      </c>
      <c r="R14" s="50" t="str">
        <f t="shared" si="1"/>
        <v>To Do</v>
      </c>
      <c r="S14" s="11" t="s">
        <v>26</v>
      </c>
      <c r="T14" s="11" t="s">
        <v>26</v>
      </c>
      <c r="U14" s="11" t="s">
        <v>26</v>
      </c>
      <c r="V14" s="11" t="s">
        <v>26</v>
      </c>
      <c r="W14" s="11" t="s">
        <v>26</v>
      </c>
      <c r="X14" s="11" t="s">
        <v>26</v>
      </c>
      <c r="Y14" s="11" t="s">
        <v>26</v>
      </c>
      <c r="Z14" s="11" t="s">
        <v>26</v>
      </c>
      <c r="AA14" s="11" t="s">
        <v>26</v>
      </c>
      <c r="AB14" s="11" t="s">
        <v>26</v>
      </c>
      <c r="AC14" s="11" t="s">
        <v>26</v>
      </c>
      <c r="AD14" s="11" t="s">
        <v>26</v>
      </c>
      <c r="AE14" s="11" t="s">
        <v>26</v>
      </c>
      <c r="AF14" s="11" t="s">
        <v>26</v>
      </c>
      <c r="AG14" s="11" t="s">
        <v>26</v>
      </c>
      <c r="AH14" s="11" t="s">
        <v>26</v>
      </c>
      <c r="AI14" s="11" t="s">
        <v>26</v>
      </c>
      <c r="AJ14" s="11" t="s">
        <v>26</v>
      </c>
      <c r="AK14" s="11" t="s">
        <v>26</v>
      </c>
      <c r="AL14" s="11" t="s">
        <v>26</v>
      </c>
      <c r="AM14" s="11" t="s">
        <v>26</v>
      </c>
    </row>
    <row r="15" spans="1:39" ht="19.5" customHeight="1" x14ac:dyDescent="0.2">
      <c r="A15" s="30" t="s">
        <v>36</v>
      </c>
      <c r="B15" s="44" t="s">
        <v>41</v>
      </c>
      <c r="C15" s="31" t="s">
        <v>26</v>
      </c>
      <c r="D15" s="31" t="s">
        <v>96</v>
      </c>
      <c r="E15" s="32" t="s">
        <v>97</v>
      </c>
      <c r="F15" s="21" t="s">
        <v>51</v>
      </c>
      <c r="G15" s="69" t="s">
        <v>52</v>
      </c>
      <c r="H15" s="21" t="s">
        <v>89</v>
      </c>
      <c r="I15" s="31"/>
      <c r="J15" s="75" t="s">
        <v>53</v>
      </c>
      <c r="K15" s="78" t="s">
        <v>26</v>
      </c>
      <c r="L15" s="78"/>
      <c r="M15" s="78"/>
      <c r="N15" s="33" t="s">
        <v>98</v>
      </c>
      <c r="O15" s="124"/>
      <c r="P15" s="30"/>
      <c r="Q15" s="30" t="s">
        <v>99</v>
      </c>
      <c r="R15" s="50" t="str">
        <f t="shared" si="1"/>
        <v>To Do</v>
      </c>
      <c r="S15" s="11" t="s">
        <v>26</v>
      </c>
      <c r="T15" s="11" t="s">
        <v>26</v>
      </c>
      <c r="U15" s="11" t="s">
        <v>26</v>
      </c>
      <c r="V15" s="11" t="s">
        <v>26</v>
      </c>
      <c r="W15" s="11" t="s">
        <v>26</v>
      </c>
      <c r="X15" s="11" t="s">
        <v>26</v>
      </c>
      <c r="Y15" s="11" t="s">
        <v>26</v>
      </c>
      <c r="Z15" s="11" t="s">
        <v>26</v>
      </c>
      <c r="AA15" s="11" t="s">
        <v>26</v>
      </c>
      <c r="AB15" s="11" t="s">
        <v>26</v>
      </c>
      <c r="AC15" s="11" t="s">
        <v>26</v>
      </c>
      <c r="AD15" s="11" t="s">
        <v>26</v>
      </c>
      <c r="AE15" s="11" t="s">
        <v>26</v>
      </c>
      <c r="AF15" s="11" t="s">
        <v>26</v>
      </c>
      <c r="AG15" s="11" t="s">
        <v>26</v>
      </c>
      <c r="AH15" s="11" t="s">
        <v>26</v>
      </c>
      <c r="AI15" s="11" t="s">
        <v>26</v>
      </c>
      <c r="AJ15" s="11" t="s">
        <v>26</v>
      </c>
      <c r="AK15" s="11" t="s">
        <v>26</v>
      </c>
      <c r="AL15" s="11" t="s">
        <v>26</v>
      </c>
      <c r="AM15" s="11" t="s">
        <v>26</v>
      </c>
    </row>
    <row r="16" spans="1:39" ht="19.5" customHeight="1" x14ac:dyDescent="0.2">
      <c r="A16" s="113" t="s">
        <v>36</v>
      </c>
      <c r="B16" s="94" t="s">
        <v>41</v>
      </c>
      <c r="C16" s="116"/>
      <c r="D16" s="116" t="s">
        <v>100</v>
      </c>
      <c r="E16" s="95" t="s">
        <v>101</v>
      </c>
      <c r="F16" s="93" t="s">
        <v>51</v>
      </c>
      <c r="G16" s="107" t="s">
        <v>52</v>
      </c>
      <c r="H16" s="93" t="s">
        <v>89</v>
      </c>
      <c r="I16" s="116"/>
      <c r="J16" s="96" t="s">
        <v>53</v>
      </c>
      <c r="K16" s="122"/>
      <c r="L16" s="122"/>
      <c r="M16" s="122"/>
      <c r="N16" s="97" t="s">
        <v>98</v>
      </c>
      <c r="O16" s="30"/>
      <c r="P16" s="30"/>
      <c r="Q16" s="30" t="s">
        <v>102</v>
      </c>
      <c r="R16" s="50" t="str">
        <f t="shared" si="1"/>
        <v>To Do</v>
      </c>
      <c r="S16" s="11"/>
      <c r="T16" s="11"/>
      <c r="U16" s="11"/>
      <c r="V16" s="11"/>
      <c r="W16" s="11"/>
      <c r="X16" s="11"/>
      <c r="Y16" s="11"/>
      <c r="Z16" s="11"/>
      <c r="AA16" s="11"/>
      <c r="AB16" s="11"/>
      <c r="AC16" s="11"/>
      <c r="AD16" s="11"/>
      <c r="AE16" s="11"/>
      <c r="AF16" s="11"/>
      <c r="AG16" s="11"/>
      <c r="AH16" s="11"/>
      <c r="AI16" s="11"/>
      <c r="AJ16" s="11"/>
      <c r="AK16" s="11"/>
      <c r="AL16" s="11"/>
      <c r="AM16" s="11"/>
    </row>
    <row r="17" spans="1:18" ht="19.5" customHeight="1" x14ac:dyDescent="0.2">
      <c r="A17" s="21" t="s">
        <v>103</v>
      </c>
      <c r="B17" s="44" t="s">
        <v>41</v>
      </c>
      <c r="C17" s="22">
        <v>464</v>
      </c>
      <c r="D17" s="23" t="s">
        <v>104</v>
      </c>
      <c r="E17" s="34" t="s">
        <v>105</v>
      </c>
      <c r="F17" s="30" t="s">
        <v>106</v>
      </c>
      <c r="G17" s="69" t="s">
        <v>25</v>
      </c>
      <c r="H17" s="21"/>
      <c r="I17" s="22"/>
      <c r="J17" s="79"/>
      <c r="K17" s="79"/>
      <c r="L17" s="79"/>
      <c r="M17" s="79"/>
      <c r="N17" s="44" t="s">
        <v>80</v>
      </c>
      <c r="O17" s="70"/>
      <c r="P17" s="21"/>
      <c r="Q17" s="52" t="s">
        <v>107</v>
      </c>
      <c r="R17" s="50" t="str">
        <f t="shared" si="1"/>
        <v>In Progress</v>
      </c>
    </row>
    <row r="18" spans="1:18" ht="19.5" customHeight="1" x14ac:dyDescent="0.2">
      <c r="A18" s="98" t="s">
        <v>36</v>
      </c>
      <c r="B18" s="108" t="s">
        <v>108</v>
      </c>
      <c r="C18" s="99"/>
      <c r="D18" s="100" t="s">
        <v>109</v>
      </c>
      <c r="E18" s="101" t="s">
        <v>110</v>
      </c>
      <c r="F18" s="93" t="s">
        <v>106</v>
      </c>
      <c r="G18" s="107" t="s">
        <v>111</v>
      </c>
      <c r="H18" s="93"/>
      <c r="I18" s="99"/>
      <c r="J18" s="96"/>
      <c r="K18" s="102"/>
      <c r="L18" s="102"/>
      <c r="M18" s="102"/>
      <c r="N18" s="94" t="s">
        <v>112</v>
      </c>
      <c r="O18" s="21"/>
      <c r="P18" s="21"/>
      <c r="Q18" s="52" t="s">
        <v>113</v>
      </c>
      <c r="R18" s="21"/>
    </row>
    <row r="19" spans="1:18" ht="19.5" customHeight="1" x14ac:dyDescent="0.2">
      <c r="A19" s="91" t="s">
        <v>103</v>
      </c>
      <c r="B19" s="115" t="s">
        <v>41</v>
      </c>
      <c r="C19" s="87">
        <v>465</v>
      </c>
      <c r="D19" s="88" t="s">
        <v>114</v>
      </c>
      <c r="E19" s="92" t="s">
        <v>115</v>
      </c>
      <c r="F19" s="85" t="s">
        <v>32</v>
      </c>
      <c r="G19" s="106" t="s">
        <v>25</v>
      </c>
      <c r="H19" s="85" t="s">
        <v>44</v>
      </c>
      <c r="I19" s="87"/>
      <c r="J19" s="130">
        <v>46165</v>
      </c>
      <c r="K19" s="130">
        <f>+J19-21</f>
        <v>46144</v>
      </c>
      <c r="L19" s="152">
        <v>46175</v>
      </c>
      <c r="M19" t="s">
        <v>34</v>
      </c>
      <c r="N19" s="86"/>
      <c r="O19" s="131"/>
      <c r="P19" s="85"/>
      <c r="Q19" s="132" t="s">
        <v>116</v>
      </c>
      <c r="R19" s="85"/>
    </row>
    <row r="20" spans="1:18" ht="19.5" customHeight="1" x14ac:dyDescent="0.2">
      <c r="A20" s="35" t="s">
        <v>103</v>
      </c>
      <c r="B20" s="109"/>
      <c r="C20" s="22">
        <v>466</v>
      </c>
      <c r="D20" s="23" t="s">
        <v>117</v>
      </c>
      <c r="E20" s="68" t="s">
        <v>118</v>
      </c>
      <c r="F20" s="21" t="s">
        <v>51</v>
      </c>
      <c r="G20" s="69" t="s">
        <v>25</v>
      </c>
      <c r="H20" s="21"/>
      <c r="I20" s="22"/>
      <c r="J20" s="75" t="s">
        <v>53</v>
      </c>
      <c r="K20" s="79"/>
      <c r="L20" s="79"/>
      <c r="M20" s="79"/>
      <c r="N20" s="44"/>
      <c r="O20" s="21"/>
      <c r="P20" s="21"/>
      <c r="Q20" s="52" t="s">
        <v>119</v>
      </c>
      <c r="R20" s="21"/>
    </row>
    <row r="21" spans="1:18" ht="19.5" customHeight="1" x14ac:dyDescent="0.2">
      <c r="A21" s="103" t="s">
        <v>36</v>
      </c>
      <c r="B21" s="110" t="s">
        <v>120</v>
      </c>
      <c r="C21" s="149"/>
      <c r="D21" s="88" t="s">
        <v>121</v>
      </c>
      <c r="E21" s="71" t="s">
        <v>122</v>
      </c>
      <c r="F21" s="71" t="s">
        <v>32</v>
      </c>
      <c r="G21" s="111" t="s">
        <v>25</v>
      </c>
      <c r="H21" s="71" t="s">
        <v>44</v>
      </c>
      <c r="I21" s="149"/>
      <c r="J21" s="150">
        <v>46165</v>
      </c>
      <c r="K21" s="150">
        <f>+J21-21</f>
        <v>46144</v>
      </c>
      <c r="L21" s="152">
        <v>46175</v>
      </c>
      <c r="M21" t="s">
        <v>34</v>
      </c>
      <c r="N21" s="105"/>
      <c r="Q21" s="151" t="s">
        <v>123</v>
      </c>
    </row>
    <row r="22" spans="1:18" ht="19.5" customHeight="1" x14ac:dyDescent="0.2">
      <c r="A22" s="35" t="s">
        <v>103</v>
      </c>
      <c r="B22" s="109" t="s">
        <v>41</v>
      </c>
      <c r="C22" s="22"/>
      <c r="D22" s="23" t="s">
        <v>124</v>
      </c>
      <c r="E22" s="21" t="s">
        <v>125</v>
      </c>
      <c r="F22" s="21" t="s">
        <v>106</v>
      </c>
      <c r="G22" s="69" t="s">
        <v>25</v>
      </c>
      <c r="H22" s="21" t="s">
        <v>94</v>
      </c>
      <c r="I22" s="22">
        <v>1</v>
      </c>
      <c r="J22" s="83" t="s">
        <v>53</v>
      </c>
      <c r="K22" s="83"/>
      <c r="L22" s="83"/>
      <c r="M22" s="83"/>
      <c r="N22" s="44" t="s">
        <v>126</v>
      </c>
      <c r="Q22" s="151" t="s">
        <v>127</v>
      </c>
      <c r="R22" s="6" t="str">
        <f>+F22</f>
        <v>In Progress</v>
      </c>
    </row>
    <row r="23" spans="1:18" ht="19.5" customHeight="1" x14ac:dyDescent="0.2">
      <c r="A23" s="35" t="s">
        <v>36</v>
      </c>
      <c r="B23" s="109" t="s">
        <v>41</v>
      </c>
      <c r="C23" s="22">
        <v>318</v>
      </c>
      <c r="D23" s="88" t="s">
        <v>128</v>
      </c>
      <c r="E23" s="21" t="s">
        <v>129</v>
      </c>
      <c r="F23" s="21" t="s">
        <v>130</v>
      </c>
      <c r="G23" s="69" t="s">
        <v>52</v>
      </c>
      <c r="H23" s="21"/>
      <c r="I23" s="22">
        <v>1</v>
      </c>
      <c r="J23" s="83" t="s">
        <v>53</v>
      </c>
      <c r="K23" s="83">
        <v>46169</v>
      </c>
      <c r="L23" s="83"/>
      <c r="M23" s="83"/>
      <c r="N23" s="44" t="s">
        <v>131</v>
      </c>
      <c r="P23" s="6" t="s">
        <v>132</v>
      </c>
      <c r="Q23" s="151" t="s">
        <v>133</v>
      </c>
    </row>
    <row r="24" spans="1:18" ht="19.5" customHeight="1" x14ac:dyDescent="0.2">
      <c r="A24" s="35" t="s">
        <v>36</v>
      </c>
      <c r="B24" s="109" t="s">
        <v>41</v>
      </c>
      <c r="C24" s="22"/>
      <c r="D24" s="23" t="s">
        <v>134</v>
      </c>
      <c r="E24" s="21" t="s">
        <v>135</v>
      </c>
      <c r="F24" s="21" t="s">
        <v>130</v>
      </c>
      <c r="G24" s="69" t="s">
        <v>52</v>
      </c>
      <c r="H24" s="21"/>
      <c r="I24" s="22"/>
      <c r="J24" s="83"/>
      <c r="K24" s="83">
        <v>46169</v>
      </c>
      <c r="L24" s="83"/>
      <c r="M24" s="83"/>
      <c r="N24" s="44"/>
      <c r="Q24" s="151" t="s">
        <v>136</v>
      </c>
    </row>
    <row r="25" spans="1:18" ht="19.5" customHeight="1" x14ac:dyDescent="0.2">
      <c r="A25" s="35" t="s">
        <v>36</v>
      </c>
      <c r="B25" s="109" t="s">
        <v>41</v>
      </c>
      <c r="C25" s="22"/>
      <c r="D25" s="88" t="s">
        <v>137</v>
      </c>
      <c r="E25" s="21" t="s">
        <v>138</v>
      </c>
      <c r="F25" s="21" t="s">
        <v>51</v>
      </c>
      <c r="G25" s="69" t="s">
        <v>53</v>
      </c>
      <c r="H25" s="21"/>
      <c r="I25" s="22"/>
      <c r="J25" s="83"/>
      <c r="K25" s="83"/>
      <c r="L25" s="83"/>
      <c r="M25" s="83"/>
      <c r="N25" s="44"/>
      <c r="Q25" s="151" t="s">
        <v>139</v>
      </c>
    </row>
    <row r="26" spans="1:18" ht="19.5" customHeight="1" x14ac:dyDescent="0.2">
      <c r="A26" s="35" t="s">
        <v>36</v>
      </c>
      <c r="B26" s="109" t="s">
        <v>41</v>
      </c>
      <c r="C26" s="22"/>
      <c r="D26" s="23" t="s">
        <v>140</v>
      </c>
      <c r="E26" s="21" t="s">
        <v>141</v>
      </c>
      <c r="F26" s="21" t="s">
        <v>51</v>
      </c>
      <c r="G26" s="69" t="s">
        <v>53</v>
      </c>
      <c r="H26" s="21"/>
      <c r="I26" s="22"/>
      <c r="J26" s="83"/>
      <c r="K26" s="83"/>
      <c r="L26" s="83"/>
      <c r="M26" s="83"/>
      <c r="N26" s="44"/>
      <c r="Q26" s="151" t="s">
        <v>142</v>
      </c>
    </row>
    <row r="27" spans="1:18" ht="19.5" customHeight="1" x14ac:dyDescent="0.2">
      <c r="A27" s="35" t="s">
        <v>36</v>
      </c>
      <c r="B27" s="109" t="s">
        <v>41</v>
      </c>
      <c r="C27" s="22"/>
      <c r="D27" s="88" t="s">
        <v>143</v>
      </c>
      <c r="E27" s="21" t="s">
        <v>144</v>
      </c>
      <c r="F27" s="21" t="s">
        <v>51</v>
      </c>
      <c r="G27" s="69" t="s">
        <v>53</v>
      </c>
      <c r="H27" s="21"/>
      <c r="I27" s="22"/>
      <c r="J27" s="83"/>
      <c r="K27" s="83"/>
      <c r="L27" s="83"/>
      <c r="M27" s="83"/>
      <c r="N27" s="44"/>
      <c r="Q27" s="151" t="s">
        <v>145</v>
      </c>
    </row>
    <row r="28" spans="1:18" ht="19.5" customHeight="1" x14ac:dyDescent="0.2">
      <c r="A28" s="35" t="s">
        <v>36</v>
      </c>
      <c r="B28" s="109" t="s">
        <v>41</v>
      </c>
      <c r="C28" s="22"/>
      <c r="D28" s="88" t="s">
        <v>143</v>
      </c>
      <c r="E28" s="21" t="s">
        <v>146</v>
      </c>
      <c r="F28" s="21" t="s">
        <v>51</v>
      </c>
      <c r="G28" s="69" t="s">
        <v>53</v>
      </c>
      <c r="H28" s="21"/>
      <c r="I28" s="22"/>
      <c r="J28" s="83"/>
      <c r="K28" s="83"/>
      <c r="L28" s="83"/>
      <c r="M28" s="83"/>
      <c r="N28" s="44"/>
      <c r="Q28" s="151" t="s">
        <v>147</v>
      </c>
    </row>
    <row r="29" spans="1:18" ht="19.5" customHeight="1" x14ac:dyDescent="0.2">
      <c r="A29" s="35" t="s">
        <v>103</v>
      </c>
      <c r="B29" s="109" t="s">
        <v>41</v>
      </c>
      <c r="C29" s="153"/>
      <c r="D29" s="23" t="s">
        <v>148</v>
      </c>
      <c r="E29" s="70" t="s">
        <v>149</v>
      </c>
      <c r="F29" s="21" t="s">
        <v>51</v>
      </c>
      <c r="G29" s="69" t="s">
        <v>53</v>
      </c>
      <c r="H29" s="21" t="s">
        <v>94</v>
      </c>
      <c r="I29" s="22"/>
      <c r="J29" s="83"/>
      <c r="K29" s="83"/>
      <c r="L29" s="83"/>
      <c r="M29" s="83"/>
      <c r="N29" s="44"/>
      <c r="Q29" s="151" t="s">
        <v>150</v>
      </c>
    </row>
    <row r="30" spans="1:18" ht="19.5" customHeight="1" x14ac:dyDescent="0.2">
      <c r="F30"/>
      <c r="G30"/>
    </row>
    <row r="31" spans="1:18" ht="19.5" customHeight="1" x14ac:dyDescent="0.2">
      <c r="F31"/>
      <c r="G31"/>
    </row>
    <row r="32" spans="1:18" ht="19.5" customHeight="1" x14ac:dyDescent="0.2">
      <c r="G32"/>
    </row>
    <row r="33" spans="5:7" ht="19.5" customHeight="1" x14ac:dyDescent="0.2">
      <c r="E33" s="112"/>
      <c r="G33"/>
    </row>
    <row r="34" spans="5:7" ht="19.5" customHeight="1" x14ac:dyDescent="0.2">
      <c r="E34" s="112"/>
      <c r="G34"/>
    </row>
  </sheetData>
  <autoFilter ref="A1:AM29" xr:uid="{00000000-0001-0000-0000-000000000000}"/>
  <sortState xmlns:xlrd2="http://schemas.microsoft.com/office/spreadsheetml/2017/richdata2" ref="A2:AM34">
    <sortCondition ref="D2:D34"/>
  </sortState>
  <conditionalFormatting sqref="F1:F9 F13 F16:F29 F35:F1048576">
    <cfRule type="containsText" dxfId="0" priority="1" operator="containsText" text="Ready for deploy">
      <formula>NOT(ISERROR(SEARCH("Ready for deploy",F1)))</formula>
    </cfRule>
  </conditionalFormatting>
  <hyperlinks>
    <hyperlink ref="Q2" r:id="rId1" xr:uid="{B6434CBC-AAD9-4FAB-8EFA-B3C68CEBFA9E}"/>
    <hyperlink ref="Q5" r:id="rId2" xr:uid="{EB5EF812-ED01-43CC-952E-489F735C66C8}"/>
    <hyperlink ref="Q7" r:id="rId3" xr:uid="{FC9886B8-1B06-41D0-9B19-B04C0D33F5F5}"/>
    <hyperlink ref="Q10" r:id="rId4" xr:uid="{BC8AC71E-626E-44D0-ADD5-F56F4F548619}"/>
    <hyperlink ref="T10" r:id="rId5" xr:uid="{8E31DC52-7391-4263-B109-0E7DF7F4AF46}"/>
    <hyperlink ref="Q11" r:id="rId6" xr:uid="{DD069A86-A632-4730-AC28-ECFF3FD05349}"/>
    <hyperlink ref="Q8" r:id="rId7" xr:uid="{7A53E6F5-212F-4786-AD58-BD32C9BB4C16}"/>
    <hyperlink ref="Q6" r:id="rId8" xr:uid="{81C20763-73DD-484D-A83C-D39C851A1ABE}"/>
    <hyperlink ref="Q17" r:id="rId9" xr:uid="{F813B69E-33DC-42CD-805D-4A1BB09FE76B}"/>
    <hyperlink ref="Q9" r:id="rId10" xr:uid="{C1531C45-DCA5-430C-B6E4-21E8ABE23A82}"/>
    <hyperlink ref="Q18" r:id="rId11" xr:uid="{CA482415-E90B-4CB5-A945-D4969BD1725A}"/>
    <hyperlink ref="Q19" r:id="rId12" xr:uid="{EF67F132-E403-495A-A0D5-E79C153EDDE4}"/>
    <hyperlink ref="Q20" r:id="rId13" xr:uid="{30733543-B2D0-4932-94BA-EA19C45919AE}"/>
    <hyperlink ref="Q21" r:id="rId14" xr:uid="{63E6A376-07FF-4B7D-9775-0B6837C13463}"/>
    <hyperlink ref="Q22" r:id="rId15" xr:uid="{F980BAF4-F6DF-422D-80FE-4DDFE29E8CCC}"/>
    <hyperlink ref="Q23" r:id="rId16" xr:uid="{15482A06-4647-4852-8D27-895B7C9FFC2B}"/>
    <hyperlink ref="Q24" r:id="rId17" xr:uid="{454EB9E1-3200-4EBE-B8E3-D93A464B694E}"/>
    <hyperlink ref="Q25" r:id="rId18" xr:uid="{BDE460B3-0A5A-4DBC-B742-F310BEBCBB26}"/>
    <hyperlink ref="Q26" r:id="rId19" xr:uid="{1C2405CB-54B3-4F19-84D6-F230E1408475}"/>
    <hyperlink ref="Q27" r:id="rId20" xr:uid="{1A81FBA7-37F8-4E96-9E05-5B4502DF5F94}"/>
    <hyperlink ref="Q28" r:id="rId21" xr:uid="{076649DD-48E2-49EB-AD38-6BD75877DC14}"/>
    <hyperlink ref="Q29" r:id="rId22" xr:uid="{4C930365-96C5-4A1E-A594-57EC58C6EF7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D622D-7B1B-448D-A849-69B195340DC1}">
  <dimension ref="E2:F5"/>
  <sheetViews>
    <sheetView workbookViewId="0">
      <selection activeCell="E2" sqref="E2:F5"/>
    </sheetView>
  </sheetViews>
  <sheetFormatPr baseColWidth="10" defaultColWidth="8.83203125" defaultRowHeight="15" x14ac:dyDescent="0.2"/>
  <cols>
    <col min="5" max="5" width="14" bestFit="1" customWidth="1"/>
  </cols>
  <sheetData>
    <row r="2" spans="5:6" x14ac:dyDescent="0.2">
      <c r="E2" s="6"/>
      <c r="F2" s="6"/>
    </row>
    <row r="3" spans="5:6" x14ac:dyDescent="0.2">
      <c r="E3" s="6" t="s">
        <v>151</v>
      </c>
      <c r="F3" s="6" t="s">
        <v>152</v>
      </c>
    </row>
    <row r="4" spans="5:6" x14ac:dyDescent="0.2">
      <c r="E4" s="7" t="s">
        <v>153</v>
      </c>
      <c r="F4" s="6" t="s">
        <v>152</v>
      </c>
    </row>
    <row r="5" spans="5:6" x14ac:dyDescent="0.2">
      <c r="E5" s="6" t="s">
        <v>154</v>
      </c>
      <c r="F5" s="6" t="s">
        <v>152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1D683-39E3-4E4E-A814-CEF8A058D66C}">
  <dimension ref="D6:D7"/>
  <sheetViews>
    <sheetView workbookViewId="0">
      <selection activeCell="D7" sqref="D7"/>
    </sheetView>
  </sheetViews>
  <sheetFormatPr baseColWidth="10" defaultColWidth="8.83203125" defaultRowHeight="15" x14ac:dyDescent="0.2"/>
  <sheetData>
    <row r="6" spans="4:4" x14ac:dyDescent="0.2">
      <c r="D6" t="s">
        <v>155</v>
      </c>
    </row>
    <row r="7" spans="4:4" x14ac:dyDescent="0.2">
      <c r="D7" s="1" t="s">
        <v>156</v>
      </c>
    </row>
  </sheetData>
  <hyperlinks>
    <hyperlink ref="D7" r:id="rId1" xr:uid="{9DBF84E2-062D-4B45-9B4D-739A98D6244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D1AF-80B0-470A-93D9-071DA7994ED1}">
  <dimension ref="A1:J32"/>
  <sheetViews>
    <sheetView topLeftCell="A19" workbookViewId="0">
      <selection activeCell="C24" sqref="C24"/>
    </sheetView>
  </sheetViews>
  <sheetFormatPr baseColWidth="10" defaultColWidth="8.83203125" defaultRowHeight="15" x14ac:dyDescent="0.2"/>
  <cols>
    <col min="2" max="2" width="12.6640625" bestFit="1" customWidth="1"/>
    <col min="3" max="3" width="78.6640625" bestFit="1" customWidth="1"/>
    <col min="5" max="5" width="15.83203125" customWidth="1"/>
  </cols>
  <sheetData>
    <row r="1" spans="1:5" x14ac:dyDescent="0.2">
      <c r="A1" t="s">
        <v>157</v>
      </c>
      <c r="B1" t="s">
        <v>158</v>
      </c>
      <c r="C1" t="s">
        <v>159</v>
      </c>
      <c r="D1" t="s">
        <v>5</v>
      </c>
      <c r="E1" t="s">
        <v>9</v>
      </c>
    </row>
    <row r="2" spans="1:5" x14ac:dyDescent="0.2">
      <c r="A2" t="s">
        <v>160</v>
      </c>
      <c r="B2" s="3" t="s">
        <v>161</v>
      </c>
      <c r="C2" t="s">
        <v>162</v>
      </c>
      <c r="D2" t="s">
        <v>51</v>
      </c>
      <c r="E2" t="s">
        <v>163</v>
      </c>
    </row>
    <row r="3" spans="1:5" x14ac:dyDescent="0.2">
      <c r="A3" t="s">
        <v>160</v>
      </c>
      <c r="B3" s="3" t="s">
        <v>164</v>
      </c>
      <c r="C3" t="s">
        <v>165</v>
      </c>
      <c r="D3" t="s">
        <v>51</v>
      </c>
      <c r="E3" t="s">
        <v>163</v>
      </c>
    </row>
    <row r="4" spans="1:5" x14ac:dyDescent="0.2">
      <c r="A4" t="s">
        <v>160</v>
      </c>
      <c r="B4" s="3" t="s">
        <v>166</v>
      </c>
      <c r="C4" t="s">
        <v>85</v>
      </c>
      <c r="D4" t="s">
        <v>51</v>
      </c>
      <c r="E4" t="s">
        <v>163</v>
      </c>
    </row>
    <row r="5" spans="1:5" x14ac:dyDescent="0.2">
      <c r="A5" t="s">
        <v>160</v>
      </c>
      <c r="B5" s="3" t="s">
        <v>87</v>
      </c>
      <c r="C5" t="s">
        <v>167</v>
      </c>
      <c r="D5" t="s">
        <v>51</v>
      </c>
      <c r="E5" t="s">
        <v>163</v>
      </c>
    </row>
    <row r="6" spans="1:5" x14ac:dyDescent="0.2">
      <c r="A6" t="s">
        <v>160</v>
      </c>
      <c r="B6" s="3" t="s">
        <v>168</v>
      </c>
      <c r="C6" t="s">
        <v>93</v>
      </c>
      <c r="D6" t="s">
        <v>51</v>
      </c>
      <c r="E6" t="s">
        <v>163</v>
      </c>
    </row>
    <row r="7" spans="1:5" x14ac:dyDescent="0.2">
      <c r="A7" t="s">
        <v>160</v>
      </c>
      <c r="B7" s="3" t="s">
        <v>169</v>
      </c>
      <c r="C7" t="s">
        <v>97</v>
      </c>
      <c r="D7" t="s">
        <v>51</v>
      </c>
      <c r="E7" t="s">
        <v>163</v>
      </c>
    </row>
    <row r="8" spans="1:5" x14ac:dyDescent="0.2">
      <c r="A8" t="s">
        <v>160</v>
      </c>
      <c r="B8" s="3" t="s">
        <v>100</v>
      </c>
      <c r="C8" t="s">
        <v>101</v>
      </c>
      <c r="D8" t="s">
        <v>51</v>
      </c>
      <c r="E8" t="s">
        <v>163</v>
      </c>
    </row>
    <row r="9" spans="1:5" x14ac:dyDescent="0.2">
      <c r="A9" t="s">
        <v>160</v>
      </c>
      <c r="B9" s="3" t="s">
        <v>170</v>
      </c>
      <c r="C9" t="s">
        <v>171</v>
      </c>
      <c r="D9" t="s">
        <v>106</v>
      </c>
      <c r="E9" s="4">
        <v>46133</v>
      </c>
    </row>
    <row r="10" spans="1:5" x14ac:dyDescent="0.2">
      <c r="A10" t="s">
        <v>160</v>
      </c>
      <c r="B10" s="3" t="s">
        <v>172</v>
      </c>
      <c r="C10" t="s">
        <v>173</v>
      </c>
      <c r="D10" t="s">
        <v>106</v>
      </c>
      <c r="E10" s="4">
        <v>46136</v>
      </c>
    </row>
    <row r="11" spans="1:5" x14ac:dyDescent="0.2">
      <c r="A11" t="s">
        <v>160</v>
      </c>
      <c r="B11" s="3" t="s">
        <v>77</v>
      </c>
      <c r="C11" t="s">
        <v>174</v>
      </c>
      <c r="D11" t="s">
        <v>106</v>
      </c>
      <c r="E11" t="s">
        <v>163</v>
      </c>
    </row>
    <row r="12" spans="1:5" x14ac:dyDescent="0.2">
      <c r="A12" t="s">
        <v>103</v>
      </c>
      <c r="B12" s="3" t="s">
        <v>175</v>
      </c>
      <c r="C12" t="s">
        <v>176</v>
      </c>
      <c r="D12" t="s">
        <v>177</v>
      </c>
      <c r="E12" t="s">
        <v>163</v>
      </c>
    </row>
    <row r="13" spans="1:5" x14ac:dyDescent="0.2">
      <c r="A13" t="s">
        <v>103</v>
      </c>
      <c r="B13" s="3" t="s">
        <v>178</v>
      </c>
      <c r="C13" t="s">
        <v>179</v>
      </c>
      <c r="D13" t="s">
        <v>177</v>
      </c>
      <c r="E13" t="s">
        <v>163</v>
      </c>
    </row>
    <row r="14" spans="1:5" x14ac:dyDescent="0.2">
      <c r="A14" t="s">
        <v>160</v>
      </c>
      <c r="B14" s="3" t="s">
        <v>180</v>
      </c>
      <c r="C14" t="s">
        <v>181</v>
      </c>
      <c r="D14" t="s">
        <v>177</v>
      </c>
      <c r="E14" s="4">
        <v>46142</v>
      </c>
    </row>
    <row r="15" spans="1:5" x14ac:dyDescent="0.2">
      <c r="A15" t="s">
        <v>160</v>
      </c>
      <c r="B15" s="3" t="s">
        <v>182</v>
      </c>
      <c r="C15" t="s">
        <v>183</v>
      </c>
      <c r="D15" t="s">
        <v>177</v>
      </c>
      <c r="E15" t="s">
        <v>163</v>
      </c>
    </row>
    <row r="16" spans="1:5" x14ac:dyDescent="0.2">
      <c r="A16" t="s">
        <v>103</v>
      </c>
      <c r="B16" s="3" t="s">
        <v>184</v>
      </c>
      <c r="C16" t="s">
        <v>185</v>
      </c>
      <c r="D16" t="s">
        <v>24</v>
      </c>
      <c r="E16" t="s">
        <v>163</v>
      </c>
    </row>
    <row r="19" spans="1:10" x14ac:dyDescent="0.2">
      <c r="A19" s="2" t="s">
        <v>186</v>
      </c>
      <c r="B19" s="2" t="s">
        <v>187</v>
      </c>
      <c r="C19" s="2" t="s">
        <v>188</v>
      </c>
      <c r="D19" s="2" t="s">
        <v>189</v>
      </c>
      <c r="E19" s="2" t="s">
        <v>190</v>
      </c>
      <c r="F19" s="2" t="s">
        <v>191</v>
      </c>
      <c r="G19" s="2" t="s">
        <v>192</v>
      </c>
      <c r="H19" s="2" t="s">
        <v>193</v>
      </c>
      <c r="I19" s="2" t="s">
        <v>194</v>
      </c>
      <c r="J19" s="2" t="s">
        <v>195</v>
      </c>
    </row>
    <row r="20" spans="1:10" x14ac:dyDescent="0.2">
      <c r="A20" s="2" t="s">
        <v>196</v>
      </c>
      <c r="B20" s="5" t="s">
        <v>197</v>
      </c>
      <c r="C20" s="2" t="s">
        <v>198</v>
      </c>
      <c r="D20" s="2" t="s">
        <v>199</v>
      </c>
      <c r="E20" s="2" t="s">
        <v>200</v>
      </c>
      <c r="F20" s="2" t="s">
        <v>201</v>
      </c>
      <c r="G20" s="2" t="s">
        <v>202</v>
      </c>
      <c r="H20" s="2"/>
      <c r="I20" s="2" t="s">
        <v>203</v>
      </c>
      <c r="J20" s="2" t="s">
        <v>204</v>
      </c>
    </row>
    <row r="21" spans="1:10" x14ac:dyDescent="0.2">
      <c r="A21" s="2" t="s">
        <v>196</v>
      </c>
      <c r="B21" s="5" t="s">
        <v>205</v>
      </c>
      <c r="C21" s="2" t="s">
        <v>206</v>
      </c>
      <c r="D21" s="2" t="s">
        <v>199</v>
      </c>
      <c r="E21" s="2" t="s">
        <v>200</v>
      </c>
      <c r="F21" s="2" t="s">
        <v>201</v>
      </c>
      <c r="G21" s="2" t="s">
        <v>202</v>
      </c>
      <c r="H21" s="2"/>
      <c r="I21" s="2" t="s">
        <v>203</v>
      </c>
      <c r="J21" s="2" t="s">
        <v>207</v>
      </c>
    </row>
    <row r="22" spans="1:10" x14ac:dyDescent="0.2">
      <c r="A22" s="2" t="s">
        <v>196</v>
      </c>
      <c r="B22" s="5" t="s">
        <v>208</v>
      </c>
      <c r="C22" s="2" t="s">
        <v>209</v>
      </c>
      <c r="D22" s="2" t="s">
        <v>199</v>
      </c>
      <c r="E22" s="2" t="s">
        <v>200</v>
      </c>
      <c r="F22" s="2" t="s">
        <v>201</v>
      </c>
      <c r="G22" s="2" t="s">
        <v>202</v>
      </c>
      <c r="H22" s="2"/>
      <c r="I22" s="2" t="s">
        <v>203</v>
      </c>
      <c r="J22" s="2" t="s">
        <v>207</v>
      </c>
    </row>
    <row r="23" spans="1:10" x14ac:dyDescent="0.2">
      <c r="A23" s="2" t="s">
        <v>196</v>
      </c>
      <c r="B23" s="5" t="s">
        <v>210</v>
      </c>
      <c r="C23" s="2" t="s">
        <v>211</v>
      </c>
      <c r="D23" s="2" t="s">
        <v>199</v>
      </c>
      <c r="E23" s="2" t="s">
        <v>200</v>
      </c>
      <c r="F23" s="2" t="s">
        <v>201</v>
      </c>
      <c r="G23" s="2" t="s">
        <v>202</v>
      </c>
      <c r="H23" s="2"/>
      <c r="I23" s="2" t="s">
        <v>203</v>
      </c>
      <c r="J23" s="2" t="s">
        <v>207</v>
      </c>
    </row>
    <row r="24" spans="1:10" x14ac:dyDescent="0.2">
      <c r="A24" s="2" t="s">
        <v>196</v>
      </c>
      <c r="B24" s="5" t="s">
        <v>212</v>
      </c>
      <c r="C24" s="2" t="s">
        <v>213</v>
      </c>
      <c r="D24" s="2" t="s">
        <v>199</v>
      </c>
      <c r="E24" s="2" t="s">
        <v>200</v>
      </c>
      <c r="F24" s="2" t="s">
        <v>201</v>
      </c>
      <c r="G24" s="2" t="s">
        <v>202</v>
      </c>
      <c r="H24" s="2"/>
      <c r="I24" s="2" t="s">
        <v>203</v>
      </c>
      <c r="J24" s="2" t="s">
        <v>214</v>
      </c>
    </row>
    <row r="25" spans="1:10" x14ac:dyDescent="0.2">
      <c r="A25" s="2" t="s">
        <v>196</v>
      </c>
      <c r="B25" s="5" t="s">
        <v>215</v>
      </c>
      <c r="C25" s="2" t="s">
        <v>216</v>
      </c>
      <c r="D25" s="2" t="s">
        <v>199</v>
      </c>
      <c r="E25" s="2" t="s">
        <v>200</v>
      </c>
      <c r="F25" s="2" t="s">
        <v>201</v>
      </c>
      <c r="G25" s="2" t="s">
        <v>202</v>
      </c>
      <c r="H25" s="2"/>
      <c r="I25" s="2" t="s">
        <v>203</v>
      </c>
      <c r="J25" s="2" t="s">
        <v>207</v>
      </c>
    </row>
    <row r="26" spans="1:10" x14ac:dyDescent="0.2">
      <c r="A26" s="2" t="s">
        <v>196</v>
      </c>
      <c r="B26" s="5" t="s">
        <v>217</v>
      </c>
      <c r="C26" s="2" t="s">
        <v>218</v>
      </c>
      <c r="D26" s="2" t="s">
        <v>199</v>
      </c>
      <c r="E26" s="2" t="s">
        <v>200</v>
      </c>
      <c r="F26" s="2" t="s">
        <v>201</v>
      </c>
      <c r="G26" s="2" t="s">
        <v>202</v>
      </c>
      <c r="H26" s="2"/>
      <c r="I26" s="2" t="s">
        <v>203</v>
      </c>
      <c r="J26" s="2" t="s">
        <v>219</v>
      </c>
    </row>
    <row r="27" spans="1:10" x14ac:dyDescent="0.2">
      <c r="A27" s="2" t="s">
        <v>196</v>
      </c>
      <c r="B27" s="5" t="s">
        <v>220</v>
      </c>
      <c r="C27" s="2" t="s">
        <v>221</v>
      </c>
      <c r="D27" s="2" t="s">
        <v>199</v>
      </c>
      <c r="E27" s="2" t="s">
        <v>200</v>
      </c>
      <c r="F27" s="2" t="s">
        <v>201</v>
      </c>
      <c r="G27" s="2" t="s">
        <v>202</v>
      </c>
      <c r="H27" s="2"/>
      <c r="I27" s="2" t="s">
        <v>203</v>
      </c>
      <c r="J27" s="2" t="s">
        <v>207</v>
      </c>
    </row>
    <row r="28" spans="1:10" x14ac:dyDescent="0.2">
      <c r="A28" s="2" t="s">
        <v>196</v>
      </c>
      <c r="B28" s="5" t="s">
        <v>222</v>
      </c>
      <c r="C28" s="2" t="s">
        <v>223</v>
      </c>
      <c r="D28" s="2" t="s">
        <v>199</v>
      </c>
      <c r="E28" s="2" t="s">
        <v>200</v>
      </c>
      <c r="F28" s="2" t="s">
        <v>201</v>
      </c>
      <c r="G28" s="2" t="s">
        <v>202</v>
      </c>
      <c r="H28" s="2"/>
      <c r="I28" s="2" t="s">
        <v>203</v>
      </c>
      <c r="J28" s="2" t="s">
        <v>207</v>
      </c>
    </row>
    <row r="29" spans="1:10" x14ac:dyDescent="0.2">
      <c r="A29" s="2" t="s">
        <v>196</v>
      </c>
      <c r="B29" s="5" t="s">
        <v>224</v>
      </c>
      <c r="C29" s="2" t="s">
        <v>225</v>
      </c>
      <c r="D29" s="2" t="s">
        <v>199</v>
      </c>
      <c r="E29" s="2" t="s">
        <v>200</v>
      </c>
      <c r="F29" s="2" t="s">
        <v>201</v>
      </c>
      <c r="G29" s="2" t="s">
        <v>202</v>
      </c>
      <c r="H29" s="2"/>
      <c r="I29" s="2" t="s">
        <v>203</v>
      </c>
      <c r="J29" s="2" t="s">
        <v>207</v>
      </c>
    </row>
    <row r="30" spans="1:10" x14ac:dyDescent="0.2">
      <c r="A30" s="2" t="s">
        <v>196</v>
      </c>
      <c r="B30" s="5" t="s">
        <v>226</v>
      </c>
      <c r="C30" s="2" t="s">
        <v>227</v>
      </c>
      <c r="D30" s="2" t="s">
        <v>199</v>
      </c>
      <c r="E30" s="2" t="s">
        <v>200</v>
      </c>
      <c r="F30" s="2" t="s">
        <v>201</v>
      </c>
      <c r="G30" s="2" t="s">
        <v>202</v>
      </c>
      <c r="H30" s="2"/>
      <c r="I30" s="2" t="s">
        <v>228</v>
      </c>
      <c r="J30" s="2" t="s">
        <v>229</v>
      </c>
    </row>
    <row r="31" spans="1:10" x14ac:dyDescent="0.2">
      <c r="A31" s="2" t="s">
        <v>196</v>
      </c>
      <c r="B31" s="5" t="s">
        <v>230</v>
      </c>
      <c r="C31" s="2" t="s">
        <v>231</v>
      </c>
      <c r="D31" s="2" t="s">
        <v>199</v>
      </c>
      <c r="E31" s="2" t="s">
        <v>200</v>
      </c>
      <c r="F31" s="2" t="s">
        <v>201</v>
      </c>
      <c r="G31" s="2" t="s">
        <v>202</v>
      </c>
      <c r="H31" s="2"/>
      <c r="I31" s="2" t="s">
        <v>232</v>
      </c>
      <c r="J31" s="2" t="s">
        <v>232</v>
      </c>
    </row>
    <row r="32" spans="1:10" x14ac:dyDescent="0.2">
      <c r="A32" s="2" t="s">
        <v>196</v>
      </c>
      <c r="B32" s="5" t="s">
        <v>233</v>
      </c>
      <c r="C32" s="2" t="s">
        <v>234</v>
      </c>
      <c r="D32" s="2" t="s">
        <v>199</v>
      </c>
      <c r="E32" s="2" t="s">
        <v>200</v>
      </c>
      <c r="F32" s="2" t="s">
        <v>201</v>
      </c>
      <c r="G32" s="2" t="s">
        <v>202</v>
      </c>
      <c r="H32" s="2"/>
      <c r="I32" s="2" t="s">
        <v>204</v>
      </c>
      <c r="J32" s="2" t="s">
        <v>235</v>
      </c>
    </row>
  </sheetData>
  <hyperlinks>
    <hyperlink ref="B2" r:id="rId1" xr:uid="{F030F8F7-016D-4C0C-8808-6AE56B296313}"/>
    <hyperlink ref="B3" r:id="rId2" xr:uid="{D102A951-10B2-4634-8DCD-7D0475D24FF8}"/>
    <hyperlink ref="B4" r:id="rId3" xr:uid="{246EC30C-5034-4196-B13D-E3AFF009B744}"/>
    <hyperlink ref="B5" r:id="rId4" xr:uid="{187766BD-4844-487D-AD2F-02BF0AF4983E}"/>
    <hyperlink ref="B6" r:id="rId5" xr:uid="{8538C006-3642-4BBF-B4C4-646EFAD909C7}"/>
    <hyperlink ref="B7" r:id="rId6" xr:uid="{9ACAA3FC-B436-47A0-899D-4D8A328A2A4D}"/>
    <hyperlink ref="B8" r:id="rId7" xr:uid="{226535BA-F5A0-497F-BC96-716789E03C72}"/>
    <hyperlink ref="B9" r:id="rId8" xr:uid="{C318DB80-7743-4E12-A0EB-31C32B5EA144}"/>
    <hyperlink ref="B10" r:id="rId9" xr:uid="{3AB6AEBA-4215-4542-B501-C044A3C09A93}"/>
    <hyperlink ref="B11" r:id="rId10" xr:uid="{1BE3C7AF-1DE2-40D3-A3BC-C23CCB295A00}"/>
    <hyperlink ref="B12" r:id="rId11" xr:uid="{3C90E604-B968-4A3B-A3DC-F88D7E646AF5}"/>
    <hyperlink ref="B13" r:id="rId12" xr:uid="{82C2FD2D-D7E9-48BF-9616-55041B475A1A}"/>
    <hyperlink ref="B14" r:id="rId13" xr:uid="{9255691F-30B7-4B72-9FBB-B29DA3FB52EB}"/>
    <hyperlink ref="B15" r:id="rId14" xr:uid="{E1231466-2890-41BD-97E7-FB50839FBF2C}"/>
    <hyperlink ref="B16" r:id="rId15" xr:uid="{BB184948-36A5-41BD-8FFC-CFE6A7CC52C3}"/>
    <hyperlink ref="B20" r:id="rId16" xr:uid="{974632C5-C6B1-4D05-ABE4-5C39240C4B2A}"/>
    <hyperlink ref="B21" r:id="rId17" xr:uid="{5DC07539-C669-49B1-BB2F-9DACC914D686}"/>
    <hyperlink ref="B22" r:id="rId18" xr:uid="{8D6720E4-6302-4FBC-ACB9-61407623585B}"/>
    <hyperlink ref="B23" r:id="rId19" xr:uid="{EAE036F5-F77A-4058-A7DE-86606CE67714}"/>
    <hyperlink ref="B24" r:id="rId20" xr:uid="{84FBD459-9AAD-487F-A0EA-37ECA5FA5684}"/>
    <hyperlink ref="B25" r:id="rId21" xr:uid="{B2368485-D40C-4548-9C6F-F6A8AA7A0438}"/>
    <hyperlink ref="B26" r:id="rId22" xr:uid="{9073AD32-67C0-4D34-97A4-C3BDB1E47F17}"/>
    <hyperlink ref="B27" r:id="rId23" xr:uid="{608FD2A6-7CEE-4346-A1F9-8F7C9BDB3ED2}"/>
    <hyperlink ref="B28" r:id="rId24" xr:uid="{66F409FC-8404-43A1-8BB4-A825DD9F3043}"/>
    <hyperlink ref="B29" r:id="rId25" xr:uid="{E487DC1C-61A0-4A8C-88D1-34F0300DBCC7}"/>
    <hyperlink ref="B30" r:id="rId26" xr:uid="{405AE321-0DEC-4C78-B527-77614050BD18}"/>
    <hyperlink ref="B31" r:id="rId27" xr:uid="{FE71A094-A16E-441E-BB9D-DF52D51DB9EF}"/>
    <hyperlink ref="B32" r:id="rId28" xr:uid="{A71BA791-C0C4-4088-868F-26F9E0A3B34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837194C17BC590499BEF42DE22395D4B" ma:contentTypeVersion="14" ma:contentTypeDescription="Crear nuevo documento." ma:contentTypeScope="" ma:versionID="37832b1b68346bd291f1e05322c7655f">
  <xsd:schema xmlns:xsd="http://www.w3.org/2001/XMLSchema" xmlns:xs="http://www.w3.org/2001/XMLSchema" xmlns:p="http://schemas.microsoft.com/office/2006/metadata/properties" xmlns:ns2="74883328-b136-4b1e-a918-c60b976a7e02" xmlns:ns3="420dcb4d-2f37-4356-bcf8-0c10b04384ff" targetNamespace="http://schemas.microsoft.com/office/2006/metadata/properties" ma:root="true" ma:fieldsID="a8321df89a8db7d13b97b0497abfe832" ns2:_="" ns3:_="">
    <xsd:import namespace="74883328-b136-4b1e-a918-c60b976a7e02"/>
    <xsd:import namespace="420dcb4d-2f37-4356-bcf8-0c10b04384ff"/>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883328-b136-4b1e-a918-c60b976a7e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8e11f609-d9da-488a-ac75-dc7d688aba68"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0dcb4d-2f37-4356-bcf8-0c10b04384ff"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ccfbbe3-1a8a-45c9-8c97-141f5ad7bddc}" ma:internalName="TaxCatchAll" ma:showField="CatchAllData" ma:web="420dcb4d-2f37-4356-bcf8-0c10b04384ff">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883328-b136-4b1e-a918-c60b976a7e02">
      <Terms xmlns="http://schemas.microsoft.com/office/infopath/2007/PartnerControls"/>
    </lcf76f155ced4ddcb4097134ff3c332f>
    <TaxCatchAll xmlns="420dcb4d-2f37-4356-bcf8-0c10b04384ff" xsi:nil="true"/>
  </documentManagement>
</p:properties>
</file>

<file path=customXml/itemProps1.xml><?xml version="1.0" encoding="utf-8"?>
<ds:datastoreItem xmlns:ds="http://schemas.openxmlformats.org/officeDocument/2006/customXml" ds:itemID="{6FF120DA-C76D-4A9C-A184-0BB2CADB95AE}">
  <ds:schemaRefs>
    <ds:schemaRef ds:uri="http://schemas.microsoft.com/sharepoint/v3/contenttype/forms"/>
  </ds:schemaRefs>
</ds:datastoreItem>
</file>

<file path=customXml/itemProps2.xml><?xml version="1.0" encoding="utf-8"?>
<ds:datastoreItem xmlns:ds="http://schemas.openxmlformats.org/officeDocument/2006/customXml" ds:itemID="{C9C9298D-32A6-4827-A899-B96B5A8B1E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883328-b136-4b1e-a918-c60b976a7e02"/>
    <ds:schemaRef ds:uri="420dcb4d-2f37-4356-bcf8-0c10b04384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04DA27D-9D71-4650-A8C1-E9A29B9DF833}">
  <ds:schemaRefs>
    <ds:schemaRef ds:uri="http://schemas.microsoft.com/office/2006/metadata/properties"/>
    <ds:schemaRef ds:uri="http://schemas.microsoft.com/office/infopath/2007/PartnerControls"/>
    <ds:schemaRef ds:uri="74883328-b136-4b1e-a918-c60b976a7e02"/>
    <ds:schemaRef ds:uri="420dcb4d-2f37-4356-bcf8-0c10b04384ff"/>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Backlog</vt:lpstr>
      <vt:lpstr>Sheet3</vt:lpstr>
      <vt:lpstr>Sheet2</vt:lpstr>
      <vt:lpstr>Sheet4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Pablo Bianco</dc:creator>
  <cp:keywords/>
  <dc:description/>
  <cp:lastModifiedBy>Sol Sanés</cp:lastModifiedBy>
  <cp:revision/>
  <dcterms:created xsi:type="dcterms:W3CDTF">2015-06-05T18:17:20Z</dcterms:created>
  <dcterms:modified xsi:type="dcterms:W3CDTF">2026-05-28T14:20:55Z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0x010100837194C17BC590499BEF42DE22395D4B</vt:lpwstr>
  </property>
  <property fmtid="{D5CDD505-2E9C-101B-9397-08002B2CF9AE}" pid="3" name="MediaServiceImageTags">
    <vt:lpwstr/>
  </property>
</Properties>
</file>